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b1dc6673864c45" /></Relationships>
</file>

<file path=xl/workbook.xml><?xml version="1.0" encoding="utf-8"?>
<x:workbook xmlns:x="http://schemas.openxmlformats.org/spreadsheetml/2006/main">
  <x:sheets>
    <x:sheet xmlns:r="http://schemas.openxmlformats.org/officeDocument/2006/relationships" name="0_Hướng dẫn" sheetId="1" r:id="R001d36afc5e244c5"/>
    <x:sheet xmlns:r="http://schemas.openxmlformats.org/officeDocument/2006/relationships" name="0_Đầu vào" sheetId="2" r:id="Rf7e4a8ed1bfc4a44"/>
    <x:sheet xmlns:r="http://schemas.openxmlformats.org/officeDocument/2006/relationships" name="1_Danh sách việc" sheetId="3" r:id="Ra727e3b6aefe4882"/>
    <x:sheet xmlns:r="http://schemas.openxmlformats.org/officeDocument/2006/relationships" name="2_Mức tự động" sheetId="4" r:id="R26ed8617add942c8"/>
    <x:sheet xmlns:r="http://schemas.openxmlformats.org/officeDocument/2006/relationships" name="3_Bảng lộ trình" sheetId="5" r:id="Rc84e818ed22a40a7"/>
    <x:sheet xmlns:r="http://schemas.openxmlformats.org/officeDocument/2006/relationships" name="4_Rà soát" sheetId="6" r:id="R5fca3c29faa34242"/>
    <x:sheet xmlns:r="http://schemas.openxmlformats.org/officeDocument/2006/relationships" name="5_Slide lãnh đạo" sheetId="7" r:id="R0a52f6ce35274aa3"/>
    <x:sheet xmlns:r="http://schemas.openxmlformats.org/officeDocument/2006/relationships" name="6_Tự kiểm tra" sheetId="8" r:id="R92d9767d34c8425b"/>
    <x:sheet xmlns:r="http://schemas.openxmlformats.org/officeDocument/2006/relationships" name="7_Thang điểm" sheetId="9" r:id="Ra7d62c7868a34011"/>
  </x:sheets>
</x:workbook>
</file>

<file path=xl/sharedStrings.xml><?xml version="1.0" encoding="utf-8"?>
<x:sst xmlns:x="http://schemas.openxmlformats.org/spreadsheetml/2006/main">
  <x:si>
    <x:t xml:space="preserve">CS13 · Lộ trình sản phẩm AI — File thực hành · Đề 1 · SổSạch</x:t>
  </x:si>
  <x:si>
    <x:t xml:space="preserve">AI in Action · Track 1 · Khóa 4. FILE LÀM BÀI CỦA NHÓM · Đề 1 · SổSạch. Dữ liệu của đề nằm trong file CS13_HoSoTinhHuong.pdf; file CS13_Roadmap_Mau.xlsx là bản mẫu đã điền (một sản phẩm khác) để xem cách điền.</x:t>
  </x:si>
  <x:si>
    <x:t xml:space="preserve">Luật chơi: CHỈ điền vào ô màu VÀNG. Ô màu XANH là công thức và đã được khóa. Bắt đầu bằng trang 0_Đầu vào (Nhiệm vụ 0: đọc hồ sơ tình huống).</x:t>
  </x:si>
  <x:si>
    <x:t xml:space="preserve">Thứ tự làm: 0 Đọc hồ sơ → 1 Danh sách việc → 2 Mức tự động → 3 Bảng lộ trình → 4 Rà soát → 6 Tự kiểm tra. Trang 5 (slide lãnh đạo) làm ở nhà.</x:t>
  </x:si>
  <x:si>
    <x:t xml:space="preserve">Số liệu kinh tế của đề đã điền sẵn ở trang 2, dòng 12–20. Không cần file của buổi nào khác: mọi dữ liệu cần dùng nằm trong hồ sơ tình huống, Đề 1.</x:t>
  </x:si>
  <x:si>
    <x:t xml:space="preserve">Lộ trình theo GIẢ THUYẾT: mỗi hạng mục phải trả lời 'Ta tin rằng làm X sẽ giúp Y đạt Z; biết đúng khi chỉ số W đạt ngưỡng V'.</x:t>
  </x:si>
  <x:si>
    <x:t xml:space="preserve">Tên file nộp: [Nhom]_CS13.xlsx · Nộp bản có Nhiệm vụ 1–4 lên VLearn trước 18:00 ngày 16/10. Trang 5 (Nhiệm vụ 5, làm ở nhà) nộp trước 23:59 ngày 19/10.</x:t>
  </x:si>
  <x:si>
    <x:t xml:space="preserve">Tuân thủ: Luật Trí tuệ nhân tạo số 134/2025/QH15 (hiệu lực 01/3/2026) chia hệ thống AI thành 3 mức rủi ro và yêu cầu người dùng được thông tin khi tương tác với AI. Đọc văn bản gốc trước khi ghi vào bài.</x:t>
  </x:si>
  <x:si>
    <x:t xml:space="preserve">Chú thích màu:</x:t>
  </x:si>
  <x:si>
    <x:t xml:space="preserve">Ô điền giả định (không khóa)</x:t>
  </x:si>
  <x:si>
    <x:t xml:space="preserve">Ô công thức (tự tính, đã khóa)</x:t>
  </x:si>
  <x:si>
    <x:t xml:space="preserve">0 · Nhiệm vụ 0: đọc hồ sơ tình huống, Đề 1 (5 phút)</x:t>
  </x:si>
  <x:si>
    <x:t xml:space="preserve">Cả nhóm đọc cùng một hồ sơ trước khi điền. Nhiệm vụ 0 không tính điểm; đánh dấu "Có" khi cả nhóm đã đọc mục đó.</x:t>
  </x:si>
  <x:si>
    <x:t xml:space="preserve">Mục trong hồ sơ tình huống</x:t>
  </x:si>
  <x:si>
    <x:t xml:space="preserve">Nhóm đã đọc chưa?</x:t>
  </x:si>
  <x:si>
    <x:t xml:space="preserve">Dùng ở đâu trong file</x:t>
  </x:si>
  <x:si>
    <x:t xml:space="preserve">Lưu ý</x:t>
  </x:si>
  <x:si>
    <x:t xml:space="preserve">Ghi chú của nhóm</x:t>
  </x:si>
  <x:si>
    <x:t xml:space="preserve">Số liệu kinh tế của đề (9 dòng)</x:t>
  </x:si>
  <x:si>
    <x:t xml:space="preserve">Đã điền sẵn ở trang 2, dòng 12–20: chi phí mỗi việc, biên lợi nhuận, điều kiện dừng</x:t>
  </x:si>
  <x:si>
    <x:t xml:space="preserve">Đọc để hiểu; không cần chép</x:t>
  </x:si>
  <x:si>
    <x:t xml:space="preserve">Bối cảnh, sản phẩm, "1 việc" là gì</x:t>
  </x:si>
  <x:si>
    <x:t xml:space="preserve">Giả thuyết và chỉ số ở trang 1</x:t>
  </x:si>
  <x:si>
    <x:t xml:space="preserve">Viết giả thuyết theo đúng "1 việc" của đề</x:t>
  </x:si>
  <x:si>
    <x:t xml:space="preserve">6 việc gợi ý</x:t>
  </x:si>
  <x:si>
    <x:t xml:space="preserve">Trang 1, cột B–C; nhóm được thêm việc của mình</x:t>
  </x:si>
  <x:si>
    <x:t xml:space="preserve">Giữ, bỏ hay đổi thứ tự đều phải ghi lý do ở cột Q</x:t>
  </x:si>
  <x:si>
    <x:t xml:space="preserve">Kết quả đánh giá đã có (bộ đề, cổng phát hành)</x:t>
  </x:si>
  <x:si>
    <x:t xml:space="preserve">Cổng đánh giá ở trang 2; việc cần làm trước ở trang 3</x:t>
  </x:si>
  <x:si>
    <x:t xml:space="preserve">Đề 2, 3: kết luận chưa phải "Phát hành" → có việc phải làm trước</x:t>
  </x:si>
  <x:si>
    <x:t xml:space="preserve">Chuyên gia và số giờ của họ</x:t>
  </x:si>
  <x:si>
    <x:t xml:space="preserve">Dòng "Điều kiện cần" ở trang 3; ô "Cần gì" ở trang 5</x:t>
  </x:si>
  <x:si>
    <x:t xml:space="preserve">Dẫn đúng số giờ trong hồ sơ</x:t>
  </x:si>
  <x:si>
    <x:t xml:space="preserve">Gợi ý về người duyệt và mức tự động</x:t>
  </x:si>
  <x:si>
    <x:t xml:space="preserve">Trang 2, cột H và I</x:t>
  </x:si>
  <x:si>
    <x:t xml:space="preserve">Đề 3: bác sĩ của bệnh viện không tính vào chi phí</x:t>
  </x:si>
  <x:si>
    <x:t xml:space="preserve">Số mục nhóm đã đọc</x:t>
  </x:si>
  <x:si>
    <x:t xml:space="preserve">Đủ 6/6 thì sang Nhiệm vụ 1.</x:t>
  </x:si>
  <x:si>
    <x:t xml:space="preserve">1 · Danh sách việc và chấm điểm ưu tiên</x:t>
  </x:si>
  <x:si>
    <x:t xml:space="preserve">Điểm = Độ phủ × Tác động × Mức tự tin ÷ Công sức × (0,5 + 0,5 × sẵn sàng trung bình của dữ liệu và đánh giá) × (1 − 0,5 × rủi ro bị 'nuốt')</x:t>
  </x:si>
  <x:si>
    <x:t xml:space="preserve">STT</x:t>
  </x:si>
  <x:si>
    <x:t xml:space="preserve">Việc</x:t>
  </x:si>
  <x:si>
    <x:t xml:space="preserve">Kết quả muốn đạt</x:t>
  </x:si>
  <x:si>
    <x:t xml:space="preserve">Giả thuyết (Ta tin rằng…)</x:t>
  </x:si>
  <x:si>
    <x:t xml:space="preserve">Chỉ số thành công và ngưỡng</x:t>
  </x:si>
  <x:si>
    <x:t xml:space="preserve">Độ phủ 1–5</x:t>
  </x:si>
  <x:si>
    <x:t xml:space="preserve">Tác động 1–5</x:t>
  </x:si>
  <x:si>
    <x:t xml:space="preserve">Mức tự tin 0,5 / 0,8 / 1</x:t>
  </x:si>
  <x:si>
    <x:t xml:space="preserve">Công sức 1–5</x:t>
  </x:si>
  <x:si>
    <x:t xml:space="preserve">Sẵn sàng dữ liệu 0–1</x:t>
  </x:si>
  <x:si>
    <x:t xml:space="preserve">Sẵn sàng đánh giá 0–1</x:t>
  </x:si>
  <x:si>
    <x:t xml:space="preserve">Rủi ro bị nuốt 0–1</x:t>
  </x:si>
  <x:si>
    <x:t xml:space="preserve">ĐIỂM</x:t>
  </x:si>
  <x:si>
    <x:t xml:space="preserve">Xếp hạng</x:t>
  </x:si>
  <x:si>
    <x:t xml:space="preserve">Chỉ số có con số?</x:t>
  </x:si>
  <x:si>
    <x:t xml:space="preserve">Tự làm / Mua / Chờ / Không làm</x:t>
  </x:si>
  <x:si>
    <x:t xml:space="preserve">Lý do (đổi thứ tự, chọn mua hay chờ…)</x:t>
  </x:si>
  <x:si>
    <x:t xml:space="preserve">2 · Lộ trình tăng dần mức tự động và cổng đánh giá</x:t>
  </x:si>
  <x:si>
    <x:t xml:space="preserve">Mỗi lần lên mức phải qua một cổng đánh giá bằng con số. Chưa qua cổng thì chưa lên mức, dù đã đến ngày. Mức tự động quyết định chi phí mỗi việc: xem cột H–L.</x:t>
  </x:si>
  <x:si>
    <x:t xml:space="preserve">Mức</x:t>
  </x:si>
  <x:si>
    <x:t xml:space="preserve">Tên mức</x:t>
  </x:si>
  <x:si>
    <x:t xml:space="preserve">AI làm gì</x:t>
  </x:si>
  <x:si>
    <x:t xml:space="preserve">Người làm gì</x:t>
  </x:si>
  <x:si>
    <x:t xml:space="preserve">Cổng đánh giá để lên mức này (chỉ số + ngưỡng + cỡ mẫu)</x:t>
  </x:si>
  <x:si>
    <x:t xml:space="preserve">Dữ liệu / hạ tầng / tuân thủ cần có</x:t>
  </x:si>
  <x:si>
    <x:t xml:space="preserve">Dự kiến (kế hoạch nội bộ, không phải cam kết)</x:t>
  </x:si>
  <x:si>
    <x:t xml:space="preserve">% việc có người duyệt</x:t>
  </x:si>
  <x:si>
    <x:t xml:space="preserve">Ai duyệt</x:t>
  </x:si>
  <x:si>
    <x:t xml:space="preserve">Chi phí mỗi việc (đ)</x:t>
  </x:si>
  <x:si>
    <x:t xml:space="preserve">Biên lợi nhuận gộp</x:t>
  </x:si>
  <x:si>
    <x:t xml:space="preserve">Biên ≥ 60%?</x:t>
  </x:si>
  <x:si>
    <x:t xml:space="preserve">Cổng có con số?</x:t>
  </x:si>
  <x:si>
    <x:t xml:space="preserve">Gợi ý</x:t>
  </x:si>
  <x:si>
    <x:t xml:space="preserve">Hỗ trợ có duyệt</x:t>
  </x:si>
  <x:si>
    <x:t xml:space="preserve">Tự động một phần</x:t>
  </x:si>
  <x:si>
    <x:t xml:space="preserve">Tự động có giám sát</x:t>
  </x:si>
  <x:si>
    <x:t xml:space="preserve">SỐ LIỆU KINH TẾ CỦA ĐỀ (đã điền sẵn từ hồ sơ tình huống; sửa được nếu nhóm có lý do)</x:t>
  </x:si>
  <x:si>
    <x:t xml:space="preserve">Chi phí gọi AI / việc (đã tính gọi lại)</x:t>
  </x:si>
  <x:si>
    <x:t xml:space="preserve">Hồ sơ, bảng Số liệu kinh tế, dòng 1</x:t>
  </x:si>
  <x:si>
    <x:t xml:space="preserve">Hạ tầng + đánh giá + khác / việc</x:t>
  </x:si>
  <x:si>
    <x:t xml:space="preserve">dòng 2</x:t>
  </x:si>
  <x:si>
    <x:t xml:space="preserve">Số phút người duyệt / việc</x:t>
  </x:si>
  <x:si>
    <x:t xml:space="preserve">dòng 3</x:t>
  </x:si>
  <x:si>
    <x:t xml:space="preserve">Chi phí 1 giờ người duyệt (đ)</x:t>
  </x:si>
  <x:si>
    <x:t xml:space="preserve">dòng 4</x:t>
  </x:si>
  <x:si>
    <x:t xml:space="preserve">Doanh thu bình quân / khách / tháng (đ)</x:t>
  </x:si>
  <x:si>
    <x:t xml:space="preserve">dòng 5</x:t>
  </x:si>
  <x:si>
    <x:t xml:space="preserve">Số việc bình quân / khách / tháng</x:t>
  </x:si>
  <x:si>
    <x:t xml:space="preserve">dòng 6</x:t>
  </x:si>
  <x:si>
    <x:t xml:space="preserve">Biến nguy hiểm nhất</x:t>
  </x:si>
  <x:si>
    <x:t xml:space="preserve">Doanh thu bình quân (65% doanh thu đến từ 30% văn phòng dùng nhiều)</x:t>
  </x:si>
  <x:si>
    <x:t xml:space="preserve">dòng 7</x:t>
  </x:si>
  <x:si>
    <x:t xml:space="preserve">Điều kiện dừng đã chọn (theo đề)</x:t>
  </x:si>
  <x:si>
    <x:t xml:space="preserve">NẾU doanh thu bình quân dưới 3,71 triệu/văn phòng trong 2 tháng liên tiếp, trên ít nhất 10 văn phòng, THÌ dừng mở rộng</x:t>
  </x:si>
  <x:si>
    <x:t xml:space="preserve">dòng 8</x:t>
  </x:si>
  <x:si>
    <x:t xml:space="preserve">Kịch bản xấu hết tiền ở tháng</x:t>
  </x:si>
  <x:si>
    <x:t xml:space="preserve">dòng 9</x:t>
  </x:si>
  <x:si>
    <x:t xml:space="preserve">Ghi chú: người duyệt của mình là kế toán viên của công ty. Gợi ý của đề: Mức 1 duyệt khoảng 20%; Mức 2 khoảng 10%.</x:t>
  </x:si>
  <x:si>
    <x:t xml:space="preserve">3 · Bảng lộ trình theo giả thuyết: Bây giờ / Tiếp theo / Sau này</x:t>
  </x:si>
  <x:si>
    <x:t xml:space="preserve">Bây giờ = cam kết (0–3 tháng) · Tiếp theo = định hướng (3–6 tháng) · Sau này = khám phá (6–12 tháng). Càng xa càng ít chi tiết.</x:t>
  </x:si>
  <x:si>
    <x:t xml:space="preserve">Dòng</x:t>
  </x:si>
  <x:si>
    <x:t xml:space="preserve">Bây giờ (0–3 tháng)</x:t>
  </x:si>
  <x:si>
    <x:t xml:space="preserve">Tiếp theo (3–6 tháng)</x:t>
  </x:si>
  <x:si>
    <x:t xml:space="preserve">Sau này (6–12 tháng)</x:t>
  </x:si>
  <x:si>
    <x:t xml:space="preserve">Việc chính (lấy từ trang 1)</x:t>
  </x:si>
  <x:si>
    <x:t xml:space="preserve">Giả thuyết</x:t>
  </x:si>
  <x:si>
    <x:t xml:space="preserve">Mức tự động (trang 2)</x:t>
  </x:si>
  <x:si>
    <x:t xml:space="preserve">Cổng đánh giá</x:t>
  </x:si>
  <x:si>
    <x:t xml:space="preserve">Điều kiện cần: dữ liệu / hạ tầng / tuân thủ</x:t>
  </x:si>
  <x:si>
    <x:t xml:space="preserve">Căn cứ kinh tế (số liệu của đề và trang 2)</x:t>
  </x:si>
  <x:si>
    <x:t xml:space="preserve">Điều kiện dừng / đổi hướng</x:t>
  </x:si>
  <x:si>
    <x:t xml:space="preserve">4 · Lịch rà soát lộ trình</x:t>
  </x:si>
  <x:si>
    <x:t xml:space="preserve">Rà soát theo lịch VÀ mỗi khi có sự kiện. Ở mốc 30/60/90 chọn 1 trong 4: đi tiếp, sửa, đổi hướng, dừng.</x:t>
  </x:si>
  <x:si>
    <x:t xml:space="preserve">Mốc / sự kiện</x:t>
  </x:si>
  <x:si>
    <x:t xml:space="preserve">Nhìn vào chỉ số nào</x:t>
  </x:si>
  <x:si>
    <x:t xml:space="preserve">Quyết định có thể đưa ra</x:t>
  </x:si>
  <x:si>
    <x:t xml:space="preserve">Ai quyết</x:t>
  </x:si>
  <x:si>
    <x:t xml:space="preserve">Ngày 30</x:t>
  </x:si>
  <x:si>
    <x:t xml:space="preserve">Ngày 60</x:t>
  </x:si>
  <x:si>
    <x:t xml:space="preserve">Ngày 90</x:t>
  </x:si>
  <x:si>
    <x:t xml:space="preserve">Có mô hình mới / giá gọi AI giảm mạnh</x:t>
  </x:si>
  <x:si>
    <x:t xml:space="preserve">Nền tảng hoặc đối thủ ra tính năng tương tự</x:t>
  </x:si>
  <x:si>
    <x:t xml:space="preserve">Quy định pháp lý thay đổi</x:t>
  </x:si>
  <x:si>
    <x:t xml:space="preserve">Ngày 90 chưa đo được giá trị vòng đời thật: khách mới dùng 3 tháng. Chỉ dùng chỉ số đã có đủ dữ liệu.</x:t>
  </x:si>
  <x:si>
    <x:t xml:space="preserve">5 · Lộ trình 1 slide cho lãnh đạo</x:t>
  </x:si>
  <x:si>
    <x:t xml:space="preserve">Kết luận trước. Không quá 60 chữ mỗi ô (cột C tự đếm).</x:t>
  </x:si>
  <x:si>
    <x:t xml:space="preserve">Số chữ</x:t>
  </x:si>
  <x:si>
    <x:t xml:space="preserve">Đạt?</x:t>
  </x:si>
  <x:si>
    <x:t xml:space="preserve">Kết luận (1 câu)</x:t>
  </x:si>
  <x:si>
    <x:t xml:space="preserve">3 việc chính</x:t>
  </x:si>
  <x:si>
    <x:t xml:space="preserve">Cần gì (người, tiền, dữ liệu)</x:t>
  </x:si>
  <x:si>
    <x:t xml:space="preserve">Rủi ro lớn nhất &amp; cách xử lý</x:t>
  </x:si>
  <x:si>
    <x:t xml:space="preserve">Khi nào xem lại</x:t>
  </x:si>
  <x:si>
    <x:t xml:space="preserve">6 · Tự kiểm tra</x:t>
  </x:si>
  <x:si>
    <x:t xml:space="preserve">Chưa 'Đạt' thì quay lại sửa trước khi nộp file.</x:t>
  </x:si>
  <x:si>
    <x:t xml:space="preserve">Điểm kiểm tra</x:t>
  </x:si>
  <x:si>
    <x:t xml:space="preserve">Kết quả</x:t>
  </x:si>
  <x:si>
    <x:t xml:space="preserve">Số việc đã chấm điểm (cần ≥ 5)</x:t>
  </x:si>
  <x:si>
    <x:t xml:space="preserve">Việc được giữ lại mà thiếu giả thuyết hoặc chỉ số có con số (cần = 0)</x:t>
  </x:si>
  <x:si>
    <x:t xml:space="preserve">Số mức tự động có cổng đánh giá kèm con số (cần ≥ 2, không tính Mức 0)</x:t>
  </x:si>
  <x:si>
    <x:t xml:space="preserve">Bảng lộ trình: số ô tầng 'Bây giờ' đã điền (cần 8/8)</x:t>
  </x:si>
  <x:si>
    <x:t xml:space="preserve">Điều kiện dừng tầng 'Bây giờ' có con số</x:t>
  </x:si>
  <x:si>
    <x:t xml:space="preserve">Căn cứ kinh tế có con số (từ số liệu của đề)</x:t>
  </x:si>
  <x:si>
    <x:t xml:space="preserve">Slide lãnh đạo: số ô đạt (đủ chữ, không quá 60 chữ; cần 5)</x:t>
  </x:si>
  <x:si>
    <x:t xml:space="preserve">Số mức tự động có biên lợi nhuận ≥ 60% (cần ≥ 1)</x:t>
  </x:si>
  <x:si>
    <x:t xml:space="preserve">7 · Thang điểm sản phẩm (100 điểm)</x:t>
  </x:si>
  <x:si>
    <x:t xml:space="preserve">Tiêu chí</x:t>
  </x:si>
  <x:si>
    <x:t xml:space="preserve">Điểm</x:t>
  </x:si>
  <x:si>
    <x:t xml:space="preserve">Bài đạt khi</x:t>
  </x:si>
  <x:si>
    <x:t xml:space="preserve">Điểm nhóm</x:t>
  </x:si>
  <x:si>
    <x:t xml:space="preserve">Theo kết quả và giả thuyết</x:t>
  </x:si>
  <x:si>
    <x:t xml:space="preserve">Mỗi việc có giả thuyết, chỉ số và ngưỡng, không chỉ là tên tính năng</x:t>
  </x:si>
  <x:si>
    <x:t xml:space="preserve">Ưu tiên có căn cứ</x:t>
  </x:si>
  <x:si>
    <x:t xml:space="preserve">Bảng điểm ≥ 5 việc; có sẵn sàng dữ liệu, đánh giá và rủi ro bị nuốt; dùng số liệu kinh tế của đề; đổi thứ tự hoặc bỏ việc thì ghi lý do</x:t>
  </x:si>
  <x:si>
    <x:t xml:space="preserve">Mức tự động và cổng đánh giá</x:t>
  </x:si>
  <x:si>
    <x:t xml:space="preserve">≥ 2 mức có cổng bằng con số (chỉ số, ngưỡng, cỡ mẫu); có vai trò của người; có chi phí mỗi việc theo mức</x:t>
  </x:si>
  <x:si>
    <x:t xml:space="preserve">Điều kiện cần và rủi ro</x:t>
  </x:si>
  <x:si>
    <x:t xml:space="preserve">Nêu dữ liệu, hạ tầng, tuân thủ; điều kiện dừng đo được với quy mô thử nghiệm; có lịch rà soát</x:t>
  </x:si>
  <x:si>
    <x:t xml:space="preserve">Slide lãnh đạo</x:t>
  </x:si>
  <x:si>
    <x:t xml:space="preserve">Kết luận trước, ≤ 60 chữ mỗi ô, trả lời được "cần gì" và "khi nào xem lại"</x:t>
  </x:si>
  <x:si>
    <x:t xml:space="preserve">TỔNG</x:t>
  </x:si>
  <x:si>
    <x:t xml:space="preserve">THANG ĐIỂM TRÌNH BÀY (1–5 điểm mỗi tiêu chí)</x:t>
  </x:si>
  <x:si>
    <x:t xml:space="preserve">Mức 1</x:t>
  </x:si>
  <x:si>
    <x:t xml:space="preserve">Mức 3</x:t>
  </x:si>
  <x:si>
    <x:t xml:space="preserve">Mức 5</x:t>
  </x:si>
  <x:si>
    <x:t xml:space="preserve">Rõ ràng</x:t>
  </x:si>
  <x:si>
    <x:t xml:space="preserve">Câu đầu chưa có kết luận; người nghe phải đoán nhóm làm gì trước</x:t>
  </x:si>
  <x:si>
    <x:t xml:space="preserve">Có kết luận nhưng nói sau phần mở đầu, hoặc thiếu mốc quyết định</x:t>
  </x:si>
  <x:si>
    <x:t xml:space="preserve">Câu đầu có việc làm trước, mục tiêu bằng số và ngày quyết định</x:t>
  </x:si>
  <x:si>
    <x:t xml:space="preserve">Bằng chứng</x:t>
  </x:si>
  <x:si>
    <x:t xml:space="preserve">Không có cổng đánh giá, hoặc số không có nguồn</x:t>
  </x:si>
  <x:si>
    <x:t xml:space="preserve">Có cổng nhưng thiếu cỡ mẫu hoặc căn cứ kinh tế</x:t>
  </x:si>
  <x:si>
    <x:t xml:space="preserve">Cổng đủ chỉ số, ngưỡng, cỡ mẫu; căn cứ kinh tế lấy từ số liệu của đề</x:t>
  </x:si>
  <x:si>
    <x:t xml:space="preserve">Trả lời phản biện</x:t>
  </x:si>
  <x:si>
    <x:t xml:space="preserve">Né câu hỏi hoặc trả lời chung chung</x:t>
  </x:si>
  <x:si>
    <x:t xml:space="preserve">Trả lời đúng ý nhưng không dẫn số</x:t>
  </x:si>
  <x:si>
    <x:t xml:space="preserve">Trả lời thẳng, dẫn đúng con số trong file</x:t>
  </x:si>
  <x:si>
    <x:t xml:space="preserve">Đúng giờ</x:t>
  </x:si>
  <x:si>
    <x:t xml:space="preserve">Quá 4 phút</x:t>
  </x:si>
  <x:si>
    <x:t xml:space="preserve">Từ 3 đến 4 phút</x:t>
  </x:si>
  <x:si>
    <x:t xml:space="preserve">Không quá 3 phút</x:t>
  </x:si>
  <x:si>
    <x:t xml:space="preserve">Mức 2 và 4 dùng khi bài nằm giữa hai mô tả. Bản chuẩn của buổi học không có phần trình bày trên lớp: điểm buổi = thang sản phẩm 100 điểm ở trên. Thang trình bày chỉ dùng khi giảng viên tổ chức trình bày.</x:t>
  </x:si>
</x:sst>
</file>

<file path=xl/styles.xml><?xml version="1.0" encoding="utf-8"?>
<x:styleSheet xmlns:x="http://schemas.openxmlformats.org/spreadsheetml/2006/main">
  <x:numFmts count="6">
    <x:numFmt numFmtId="164" formatCode="General"/>
    <x:numFmt numFmtId="165" formatCode="General"/>
    <x:numFmt numFmtId="166" formatCode="0%"/>
    <x:numFmt numFmtId="167" formatCode="#,##0;[RED]\-#,##0"/>
    <x:numFmt numFmtId="168" formatCode="0.0"/>
    <x:numFmt numFmtId="169" formatCode="0"/>
  </x:numFmts>
  <x:fonts count="11">
    <x:font>
      <x:sz val="11"/>
      <x:color theme="1"/>
      <x:name val="Calibri"/>
      <x:family val="2"/>
    </x:font>
    <x:font>
      <x:sz val="10"/>
      <x:name val="Arial"/>
    </x:font>
    <x:font>
      <x:sz val="10"/>
      <x:name val="Arial"/>
    </x:font>
    <x:font>
      <x:sz val="10"/>
      <x:name val="Arial"/>
    </x:font>
    <x:font>
      <x:b/>
      <x:sz val="14"/>
      <x:name val="Cambria"/>
    </x:font>
    <x:font>
      <x:i/>
      <x:sz val="11"/>
      <x:color rgb="FF595959"/>
      <x:name val="Cambria"/>
    </x:font>
    <x:font>
      <x:b/>
      <x:sz val="11"/>
      <x:color rgb="FFFFFFFF"/>
      <x:name val="Cambria"/>
    </x:font>
    <x:font>
      <x:b/>
      <x:sz val="11"/>
      <x:name val="Cambria"/>
    </x:font>
    <x:font>
      <x:sz val="11"/>
      <x:name val="Calibri"/>
    </x:font>
    <x:font>
      <x:i/>
      <x:sz val="10"/>
      <x:color rgb="FF595959"/>
      <x:name val="Calibri"/>
    </x:font>
    <x:font>
      <x:b/>
      <x:sz val="12"/>
      <x:name val="Cambria"/>
    </x:font>
  </x:fonts>
  <x:fills count="5">
    <x:fill>
      <x:patternFill patternType="none"/>
    </x:fill>
    <x:fill>
      <x:patternFill patternType="gray125"/>
    </x:fill>
    <x:fill>
      <x:patternFill patternType="solid">
        <x:fgColor rgb="FFFFF2CC"/>
      </x:patternFill>
    </x:fill>
    <x:fill>
      <x:patternFill patternType="solid">
        <x:fgColor rgb="FFE2EFDA"/>
      </x:patternFill>
    </x:fill>
    <x:fill>
      <x:patternFill patternType="solid">
        <x:fgColor rgb="FF1F3864"/>
      </x:patternFill>
    </x:fill>
  </x:fills>
  <x:borders count="2">
    <x:border diagonalUp="0" diagonalDown="0">
      <x:left/>
      <x:right/>
      <x:top/>
      <x:bottom/>
      <x:diagonal/>
    </x:border>
    <x:border diagonalUp="0" diagonalDown="0">
      <x:left style="thin">
        <x:color rgb="FFBFBFBF"/>
      </x:left>
      <x:right style="thin">
        <x:color rgb="FFBFBFBF"/>
      </x:right>
      <x:top style="thin">
        <x:color rgb="FFBFBFBF"/>
      </x:top>
      <x:bottom style="thin">
        <x:color rgb="FFBFBFBF"/>
      </x:bottom>
      <x:diagonal/>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33">
    <x:xf numFmtId="164" fontId="0" fillId="0" borderId="0" xfId="0" applyFont="0" applyBorder="0" applyAlignment="0" applyProtection="0">
      <x:alignment horizontal="general" vertical="bottom" wrapText="0" shrinkToFit="0"/>
      <x:protection locked="1" hidden="0"/>
    </x:xf>
    <x:xf numFmtId="164" fontId="0" fillId="0" borderId="0" xfId="0" applyFont="0" applyBorder="0" applyAlignment="1" applyProtection="0">
      <x:alignment horizontal="general" vertical="bottom" wrapText="0" shrinkToFit="0"/>
      <x:protection locked="1" hidden="0"/>
    </x:xf>
    <x:xf numFmtId="164" fontId="4" fillId="0" borderId="0" xfId="0" applyFont="1" applyBorder="0" applyAlignment="1" applyProtection="0">
      <x:alignment horizontal="general" vertical="bottom" wrapText="0" shrinkToFit="0"/>
      <x:protection locked="1" hidden="0"/>
    </x:xf>
    <x:xf numFmtId="164" fontId="5" fillId="0" borderId="0" xfId="0" applyFont="1" applyBorder="0" applyAlignment="1" applyProtection="0">
      <x:alignment horizontal="general" vertical="bottom" wrapText="0" shrinkToFit="0"/>
      <x:protection locked="1" hidden="0"/>
    </x:xf>
    <x:xf numFmtId="164" fontId="0" fillId="2" borderId="0" xfId="0" applyFont="1" applyBorder="0" applyAlignment="1" applyProtection="0">
      <x:alignment horizontal="general" vertical="bottom" wrapText="0" shrinkToFit="0"/>
      <x:protection locked="1" hidden="0"/>
    </x:xf>
    <x:xf numFmtId="164" fontId="0" fillId="3" borderId="0" xfId="0" applyFont="1" applyBorder="0" applyAlignment="1" applyProtection="0">
      <x:alignment horizontal="general" vertical="bottom" wrapText="0" shrinkToFit="0"/>
      <x:protection locked="1" hidden="0"/>
    </x:xf>
    <x:xf numFmtId="164" fontId="6" fillId="4" borderId="0" xfId="0" applyFont="1" applyBorder="0" applyAlignment="1" applyProtection="0">
      <x:alignment horizontal="general" vertical="bottom" wrapText="1" shrinkToFit="0"/>
      <x:protection locked="1" hidden="0"/>
    </x:xf>
    <x:xf numFmtId="164" fontId="0" fillId="0" borderId="1" xfId="0" applyFont="1" applyBorder="1" applyAlignment="1" applyProtection="0">
      <x:alignment horizontal="general" vertical="top" wrapText="1" shrinkToFit="0"/>
      <x:protection locked="1" hidden="0"/>
    </x:xf>
    <x:xf numFmtId="164" fontId="0" fillId="2" borderId="1" xfId="0" applyFont="0" applyBorder="1" applyAlignment="1" applyProtection="1">
      <x:alignment horizontal="general" vertical="top" wrapText="1" shrinkToFit="0"/>
      <x:protection locked="0" hidden="0"/>
    </x:xf>
    <x:xf numFmtId="164" fontId="7" fillId="0" borderId="0" xfId="0" applyFont="1" applyBorder="0" applyAlignment="1" applyProtection="0">
      <x:alignment horizontal="general" vertical="bottom" wrapText="0" shrinkToFit="0"/>
      <x:protection locked="1" hidden="0"/>
    </x:xf>
    <x:xf numFmtId="164" fontId="6" fillId="4" borderId="0" xfId="0" applyFont="1" applyBorder="0" applyAlignment="1" applyProtection="0">
      <x:alignment horizontal="general" vertical="center" wrapText="1" shrinkToFit="0"/>
      <x:protection locked="1" hidden="0"/>
    </x:xf>
    <x:xf numFmtId="164" fontId="0" fillId="0" borderId="1" xfId="0" applyFont="0" applyBorder="1" applyAlignment="1" applyProtection="0">
      <x:alignment horizontal="general" vertical="bottom" wrapText="0" shrinkToFit="0"/>
      <x:protection locked="1" hidden="0"/>
    </x:xf>
    <x:xf numFmtId="165" fontId="0" fillId="3" borderId="1" xfId="0" applyFont="0" applyBorder="1" applyAlignment="1" applyProtection="0">
      <x:alignment horizontal="general" vertical="top" wrapText="1" shrinkToFit="0"/>
      <x:protection locked="1" hidden="0"/>
    </x:xf>
    <x:xf numFmtId="164" fontId="0" fillId="3" borderId="1" xfId="0" applyFont="0" applyBorder="1" applyAlignment="1" applyProtection="0">
      <x:alignment horizontal="center" vertical="bottom" wrapText="0" shrinkToFit="0"/>
      <x:protection locked="1" hidden="0"/>
    </x:xf>
    <x:xf numFmtId="164" fontId="8" fillId="2" borderId="0" xfId="0" applyFont="1" applyBorder="0" applyAlignment="1" applyProtection="1">
      <x:alignment horizontal="general" vertical="bottom" wrapText="0" shrinkToFit="0"/>
      <x:protection locked="0" hidden="0"/>
    </x:xf>
    <x:xf numFmtId="166" fontId="8" fillId="2" borderId="0" xfId="0" applyFont="1" applyBorder="0" applyAlignment="1" applyProtection="1">
      <x:alignment horizontal="general" vertical="bottom" wrapText="0" shrinkToFit="0"/>
      <x:protection locked="0" hidden="0"/>
    </x:xf>
    <x:xf numFmtId="167" fontId="8" fillId="3" borderId="0" xfId="0" applyFont="1" applyBorder="0" applyAlignment="1" applyProtection="0">
      <x:alignment horizontal="general" vertical="bottom" wrapText="0" shrinkToFit="0"/>
      <x:protection locked="1" hidden="0"/>
    </x:xf>
    <x:xf numFmtId="166" fontId="8" fillId="3" borderId="0" xfId="0" applyFont="1" applyBorder="0" applyAlignment="1" applyProtection="0">
      <x:alignment horizontal="general" vertical="bottom" wrapText="0" shrinkToFit="0"/>
      <x:protection locked="1" hidden="0"/>
    </x:xf>
    <x:xf numFmtId="164" fontId="8" fillId="3" borderId="0" xfId="0" applyFont="1" applyBorder="0" applyAlignment="1" applyProtection="0">
      <x:alignment horizontal="general" vertical="bottom" wrapText="0" shrinkToFit="0"/>
      <x:protection locked="1" hidden="0"/>
    </x:xf>
    <x:xf numFmtId="164" fontId="8" fillId="0" borderId="0" xfId="0" applyFont="1" applyBorder="0" applyAlignment="1" applyProtection="0">
      <x:alignment horizontal="general" vertical="bottom" wrapText="0" shrinkToFit="0"/>
      <x:protection locked="1" hidden="0"/>
    </x:xf>
    <x:xf numFmtId="167" fontId="8" fillId="2" borderId="0" xfId="0" applyFont="1" applyBorder="0" applyAlignment="1" applyProtection="1">
      <x:alignment horizontal="general" vertical="bottom" wrapText="0" shrinkToFit="0"/>
      <x:protection locked="0" hidden="0"/>
    </x:xf>
    <x:xf numFmtId="164" fontId="9" fillId="0" borderId="0" xfId="0" applyFont="1" applyBorder="0" applyAlignment="1" applyProtection="0">
      <x:alignment horizontal="general" vertical="bottom" wrapText="0" shrinkToFit="0"/>
      <x:protection locked="1" hidden="0"/>
    </x:xf>
    <x:xf numFmtId="168" fontId="8" fillId="2" borderId="0" xfId="0" applyFont="1" applyBorder="0" applyAlignment="1" applyProtection="1">
      <x:alignment horizontal="general" vertical="bottom" wrapText="0" shrinkToFit="0"/>
      <x:protection locked="0" hidden="0"/>
    </x:xf>
    <x:xf numFmtId="169" fontId="8" fillId="2" borderId="0" xfId="0" applyFont="1" applyBorder="0" applyAlignment="1" applyProtection="1">
      <x:alignment horizontal="general" vertical="bottom" wrapText="0" shrinkToFit="0"/>
      <x:protection locked="0" hidden="0"/>
    </x:xf>
    <x:xf numFmtId="164" fontId="7" fillId="0" borderId="1" xfId="0" applyFont="1" applyBorder="1" applyAlignment="1" applyProtection="0">
      <x:alignment horizontal="general" vertical="top" wrapText="1" shrinkToFit="0"/>
      <x:protection locked="1" hidden="0"/>
    </x:xf>
    <x:xf numFmtId="164" fontId="7" fillId="0" borderId="1" xfId="0" applyFont="1" applyBorder="1" applyAlignment="1" applyProtection="0">
      <x:alignment horizontal="general" vertical="bottom" wrapText="0" shrinkToFit="0"/>
      <x:protection locked="1" hidden="0"/>
    </x:xf>
    <x:xf numFmtId="169" fontId="8" fillId="3" borderId="0" xfId="0" applyFont="1" applyBorder="0" applyAlignment="1" applyProtection="0">
      <x:alignment horizontal="general" vertical="bottom" wrapText="0" shrinkToFit="0"/>
      <x:protection locked="1" hidden="0"/>
    </x:xf>
    <x:xf numFmtId="164" fontId="0" fillId="0" borderId="0" xfId="0" applyFont="1" applyBorder="0" applyAlignment="1" applyProtection="0">
      <x:alignment horizontal="general" vertical="top" wrapText="1" shrinkToFit="0"/>
      <x:protection locked="1" hidden="0"/>
    </x:xf>
    <x:xf numFmtId="164" fontId="0" fillId="2" borderId="0" xfId="0" applyFont="0" applyBorder="0" applyAlignment="1" applyProtection="1">
      <x:alignment horizontal="general" vertical="bottom" wrapText="0" shrinkToFit="0"/>
      <x:protection locked="0" hidden="0"/>
    </x:xf>
    <x:xf numFmtId="164" fontId="10" fillId="0" borderId="0" xfId="0" applyFont="1" applyBorder="0" applyAlignment="1" applyProtection="0">
      <x:alignment horizontal="general" vertical="bottom" wrapText="0" shrinkToFit="0"/>
      <x:protection locked="1" hidden="0"/>
    </x:xf>
    <x:xf numFmtId="164" fontId="7" fillId="0" borderId="0" xfId="0" applyFont="1" applyBorder="0" applyAlignment="1" applyProtection="0">
      <x:alignment horizontal="general" vertical="top" wrapText="1" shrinkToFit="0"/>
      <x:protection locked="1" hidden="0"/>
    </x:xf>
    <x:xf numFmtId="164" fontId="8" fillId="0" borderId="0" xfId="0" applyFont="1" applyBorder="0" applyAlignment="1" applyProtection="0">
      <x:alignment horizontal="general" vertical="top" wrapText="1" shrinkToFit="0"/>
      <x:protection locked="1" hidden="0"/>
    </x:xf>
    <x:xf numFmtId="164" fontId="0" fillId="3" borderId="1" xfId="0" applyFont="0" applyBorder="1" applyAlignment="1" applyProtection="0">
      <x:alignment horizontal="general" vertical="top" wrapText="1" shrinkToFit="0"/>
      <x:protection locked="1" hidden="0"/>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FCC99"/>
      <x:rgbColor rgb="FF3366FF"/>
      <x:rgbColor rgb="FF33CCCC"/>
      <x:rgbColor rgb="FF99CC00"/>
      <x:rgbColor rgb="FFFFCC00"/>
      <x:rgbColor rgb="FFFF9900"/>
      <x:rgbColor rgb="FFFF6600"/>
      <x:rgbColor rgb="FF59595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efcd35bc3de4209" /><Relationship Type="http://schemas.openxmlformats.org/officeDocument/2006/relationships/theme" Target="/xl/theme/theme1.xml" Id="Rfbb765ae167e431b" /><Relationship Type="http://schemas.openxmlformats.org/officeDocument/2006/relationships/sharedStrings" Target="/xl/sharedStrings.xml" Id="R6b447206f2244c62" /><Relationship Type="http://schemas.openxmlformats.org/officeDocument/2006/relationships/worksheet" Target="/xl/worksheets/sheet1.xml" Id="R001d36afc5e244c5" /><Relationship Type="http://schemas.openxmlformats.org/officeDocument/2006/relationships/worksheet" Target="/xl/worksheets/sheet2.xml" Id="Rf7e4a8ed1bfc4a44" /><Relationship Type="http://schemas.openxmlformats.org/officeDocument/2006/relationships/worksheet" Target="/xl/worksheets/sheet3.xml" Id="Ra727e3b6aefe4882" /><Relationship Type="http://schemas.openxmlformats.org/officeDocument/2006/relationships/worksheet" Target="/xl/worksheets/sheet4.xml" Id="R26ed8617add942c8" /><Relationship Type="http://schemas.openxmlformats.org/officeDocument/2006/relationships/worksheet" Target="/xl/worksheets/sheet5.xml" Id="Rc84e818ed22a40a7" /><Relationship Type="http://schemas.openxmlformats.org/officeDocument/2006/relationships/worksheet" Target="/xl/worksheets/sheet6.xml" Id="R5fca3c29faa34242" /><Relationship Type="http://schemas.openxmlformats.org/officeDocument/2006/relationships/worksheet" Target="/xl/worksheets/sheet7.xml" Id="R0a52f6ce35274aa3" /><Relationship Type="http://schemas.openxmlformats.org/officeDocument/2006/relationships/worksheet" Target="/xl/worksheets/sheet8.xml" Id="R92d9767d34c8425b" /><Relationship Type="http://schemas.openxmlformats.org/officeDocument/2006/relationships/worksheet" Target="/xl/worksheets/sheet9.xml" Id="Ra7d62c7868a34011"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120" style="1" hidden="0" customWidth="1"/>
  </x:cols>
  <x:sheetData>
    <x:row r="1" ht="17.25" hidden="0" customHeight="1">
      <x:c r="A1" s="2" t="s">
        <x:v>0</x:v>
      </x:c>
    </x:row>
    <x:row r="2" ht="15" hidden="0" customHeight="1">
      <x:c r="A2" s="3" t="s">
        <x:v>1</x:v>
      </x:c>
    </x:row>
    <x:row r="4" ht="15" hidden="0" customHeight="1">
      <x:c r="A4" s="1" t="s">
        <x:v>2</x:v>
      </x:c>
    </x:row>
    <x:row r="5" ht="15" hidden="0" customHeight="1">
      <x:c r="A5" s="1" t="s">
        <x:v>3</x:v>
      </x:c>
    </x:row>
    <x:row r="6" ht="15" hidden="0" customHeight="1">
      <x:c r="A6" s="1" t="s">
        <x:v>4</x:v>
      </x:c>
    </x:row>
    <x:row r="7" ht="15" hidden="0" customHeight="1">
      <x:c r="A7" s="1" t="s">
        <x:v>5</x:v>
      </x:c>
    </x:row>
    <x:row r="8" ht="15" hidden="0" customHeight="1">
      <x:c r="A8" s="1" t="s">
        <x:v>6</x:v>
      </x:c>
    </x:row>
    <x:row r="9" ht="15" hidden="0" customHeight="1">
      <x:c r="A9" s="1" t="s">
        <x:v>7</x:v>
      </x:c>
    </x:row>
    <x:row r="11" ht="15" hidden="0" customHeight="1">
      <x:c r="A11" s="1" t="s">
        <x:v>8</x:v>
      </x:c>
    </x:row>
    <x:row r="12" ht="15" hidden="0" customHeight="1">
      <x:c r="A12" s="4" t="s">
        <x:v>9</x:v>
      </x:c>
    </x:row>
    <x:row r="13" ht="15" hidden="0" customHeight="1">
      <x:c r="A13" s="5" t="s">
        <x:v>10</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52" style="1" hidden="0" customWidth="1"/>
    <x:col min="2" max="2" width="14" style="1" hidden="0" customWidth="1"/>
    <x:col min="3" max="4" width="46" style="1" hidden="0" customWidth="1"/>
    <x:col min="5" max="5" width="36" style="1" hidden="0" customWidth="1"/>
  </x:cols>
  <x:sheetData>
    <x:row r="1" ht="17.25" hidden="0" customHeight="1">
      <x:c r="A1" s="2" t="s">
        <x:v>11</x:v>
      </x:c>
    </x:row>
    <x:row r="2" ht="15" hidden="0" customHeight="1">
      <x:c r="A2" s="3" t="s">
        <x:v>12</x:v>
      </x:c>
    </x:row>
    <x:row r="4" ht="26.25" hidden="0" customHeight="1">
      <x:c r="A4" s="6" t="s">
        <x:v>13</x:v>
      </x:c>
      <x:c r="B4" s="6" t="s">
        <x:v>14</x:v>
      </x:c>
      <x:c r="C4" s="6" t="s">
        <x:v>15</x:v>
      </x:c>
      <x:c r="D4" s="6" t="s">
        <x:v>16</x:v>
      </x:c>
      <x:c r="E4" s="6" t="s">
        <x:v>17</x:v>
      </x:c>
    </x:row>
    <x:row r="5" ht="33.75" hidden="0" customHeight="1">
      <x:c r="A5" s="7" t="s">
        <x:v>18</x:v>
      </x:c>
      <x:c r="B5" s="8" t="str">
        <x:v>Có</x:v>
      </x:c>
      <x:c r="C5" s="7" t="s">
        <x:v>19</x:v>
      </x:c>
      <x:c r="D5" s="7" t="s">
        <x:v>20</x:v>
      </x:c>
      <x:c r="E5" s="8" t="str">
        <x:v>Theo số liệu kinh tế trang 2</x:v>
      </x:c>
    </x:row>
    <x:row r="6" ht="33.75" hidden="0" customHeight="1">
      <x:c r="A6" s="7" t="s">
        <x:v>21</x:v>
      </x:c>
      <x:c r="B6" s="8" t="str">
        <x:v>Có</x:v>
      </x:c>
      <x:c r="C6" s="7" t="s">
        <x:v>22</x:v>
      </x:c>
      <x:c r="D6" s="7" t="s">
        <x:v>23</x:v>
      </x:c>
      <x:c r="E6" s="8" t="str">
        <x:v>SổSạch: ảnh chụp và tệp gốc hóa đơn</x:v>
      </x:c>
    </x:row>
    <x:row r="7" ht="33.75" hidden="0" customHeight="1">
      <x:c r="A7" s="7" t="s">
        <x:v>24</x:v>
      </x:c>
      <x:c r="B7" s="8" t="str">
        <x:v>Có</x:v>
      </x:c>
      <x:c r="C7" s="7" t="s">
        <x:v>25</x:v>
      </x:c>
      <x:c r="D7" s="7" t="s">
        <x:v>26</x:v>
      </x:c>
      <x:c r="E7" s="8" t="str">
        <x:v>Giữ đủ 6 việc gợi ý</x:v>
      </x:c>
    </x:row>
    <x:row r="8" ht="33.75" hidden="0" customHeight="1">
      <x:c r="A8" s="7" t="s">
        <x:v>27</x:v>
      </x:c>
      <x:c r="B8" s="8" t="str">
        <x:v>Có</x:v>
      </x:c>
      <x:c r="C8" s="7" t="s">
        <x:v>28</x:v>
      </x:c>
      <x:c r="D8" s="7" t="s">
        <x:v>29</x:v>
      </x:c>
      <x:c r="E8" s="8" t="str">
        <x:v>Bản 2 đã đạt cổng phát hành</x:v>
      </x:c>
    </x:row>
    <x:row r="9" ht="33.75" hidden="0" customHeight="1">
      <x:c r="A9" s="7" t="s">
        <x:v>30</x:v>
      </x:c>
      <x:c r="B9" s="8" t="str">
        <x:v>Có</x:v>
      </x:c>
      <x:c r="C9" s="7" t="s">
        <x:v>31</x:v>
      </x:c>
      <x:c r="D9" s="7" t="s">
        <x:v>32</x:v>
      </x:c>
      <x:c r="E9" s="8" t="str">
        <x:v>Chị Hạnh có 3 giờ/tuần; anh Tùng chấm được</x:v>
      </x:c>
    </x:row>
    <x:row r="10" ht="33.75" hidden="0" customHeight="1">
      <x:c r="A10" s="7" t="s">
        <x:v>33</x:v>
      </x:c>
      <x:c r="B10" s="8" t="str">
        <x:v>Có</x:v>
      </x:c>
      <x:c r="C10" s="7" t="s">
        <x:v>34</x:v>
      </x:c>
      <x:c r="D10" s="7" t="s">
        <x:v>35</x:v>
      </x:c>
      <x:c r="E10" s="8" t="str">
        <x:v>Kế toán viên duyệt; Mức 1 khoảng 20%, Mức 2 khoảng 10%</x:v>
      </x:c>
    </x:row>
    <x:row r="12" ht="15" hidden="0" customHeight="1">
      <x:c r="A12" s="9" t="s">
        <x:v>36</x:v>
      </x:c>
      <x:c r="B12" s="5" t="n">
        <x:f aca="0">COUNTIF(B5:B10,"Có")</x:f>
        <x:v>6</x:v>
      </x:c>
    </x:row>
    <x:row r="13" ht="15" hidden="0" customHeight="1">
      <x:c r="A13" s="3" t="s">
        <x:v>37</x:v>
      </x:c>
    </x:row>
  </x:sheetData>
  <x:dataValidations count="1">
    <x:dataValidation type="list" errorStyle="stop" operator="between" allowBlank="1" showDropDown="0" showInputMessage="0" showErrorMessage="0" sqref="B5:B10">
      <x:formula1>"Có,Chưa"</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4" style="1" hidden="0" customWidth="1"/>
    <x:col min="2" max="2" width="30" style="1" hidden="0" customWidth="1"/>
    <x:col min="3" max="3" width="28" style="1" hidden="0" customWidth="1"/>
    <x:col min="4" max="4" width="38" style="1" hidden="0" customWidth="1"/>
    <x:col min="5" max="5" width="32" style="1" hidden="0" customWidth="1"/>
    <x:col min="6" max="7" width="8" style="1" hidden="0" customWidth="1"/>
    <x:col min="8" max="8" width="11" style="1" hidden="0" customWidth="1"/>
    <x:col min="9" max="9" width="8" style="1" hidden="0" customWidth="1"/>
    <x:col min="10" max="10" width="11" style="1" hidden="0" customWidth="1"/>
    <x:col min="11" max="11" width="10" style="1" hidden="0" customWidth="1"/>
    <x:col min="12" max="12" width="13" style="1" hidden="0" customWidth="1"/>
    <x:col min="13" max="14" width="10" style="1" hidden="0" customWidth="1"/>
    <x:col min="15" max="15" width="12" style="1" hidden="0" customWidth="1"/>
    <x:col min="16" max="16" width="14" style="1" hidden="0" customWidth="1"/>
    <x:col min="17" max="17" width="58" style="1" hidden="0" customWidth="1"/>
  </x:cols>
  <x:sheetData>
    <x:row r="1" ht="17.25" hidden="0" customHeight="1">
      <x:c r="A1" s="2" t="s">
        <x:v>38</x:v>
      </x:c>
    </x:row>
    <x:row r="2" ht="15" hidden="0" customHeight="1">
      <x:c r="A2" s="3" t="s">
        <x:v>39</x:v>
      </x:c>
    </x:row>
    <x:row r="4" ht="39" hidden="0" customHeight="1">
      <x:c r="A4" s="10" t="s">
        <x:v>40</x:v>
      </x:c>
      <x:c r="B4" s="10" t="s">
        <x:v>41</x:v>
      </x:c>
      <x:c r="C4" s="10" t="s">
        <x:v>42</x:v>
      </x:c>
      <x:c r="D4" s="10" t="s">
        <x:v>43</x:v>
      </x:c>
      <x:c r="E4" s="10" t="s">
        <x:v>44</x:v>
      </x:c>
      <x:c r="F4" s="10" t="s">
        <x:v>45</x:v>
      </x:c>
      <x:c r="G4" s="10" t="s">
        <x:v>46</x:v>
      </x:c>
      <x:c r="H4" s="10" t="s">
        <x:v>47</x:v>
      </x:c>
      <x:c r="I4" s="10" t="s">
        <x:v>48</x:v>
      </x:c>
      <x:c r="J4" s="10" t="s">
        <x:v>49</x:v>
      </x:c>
      <x:c r="K4" s="10" t="s">
        <x:v>50</x:v>
      </x:c>
      <x:c r="L4" s="10" t="s">
        <x:v>51</x:v>
      </x:c>
      <x:c r="M4" s="10" t="s">
        <x:v>52</x:v>
      </x:c>
      <x:c r="N4" s="10" t="s">
        <x:v>53</x:v>
      </x:c>
      <x:c r="O4" s="10" t="s">
        <x:v>54</x:v>
      </x:c>
      <x:c r="P4" s="10" t="s">
        <x:v>55</x:v>
      </x:c>
      <x:c r="Q4" s="10" t="s">
        <x:v>56</x:v>
      </x:c>
    </x:row>
    <x:row r="5" ht="34.5" hidden="0" customHeight="1">
      <x:c r="A5" s="11" t="n">
        <x:v>1</x:v>
      </x:c>
      <x:c r="B5" s="8" t="str">
        <x:v>Đọc ảnh hoá đơn giấy, ảnh chụp</x:v>
      </x:c>
      <x:c r="C5" s="8" t="str">
        <x:v>Giảm 50% giờ nhập hoá đơn ảnh</x:v>
      </x:c>
      <x:c r="D5" s="8" t="str">
        <x:v>Ta tin rằng đọc ảnh hoá đơn theo hai bước và đối chiếu trước sẽ giúp văn phòng kế toán giảm ít nhất 50% giờ nhập ảnh mà không tạo lỗi mã số thuế hoặc tiền.</x:v>
      </x:c>
      <x:c r="E5" s="8" t="str">
        <x:v>Giờ nhập mỗi hoá đơn ảnh giảm ≥50% so với trước; 0 lỗi mã số thuế hoặc tiền trên 40 ca.</x:v>
      </x:c>
      <x:c r="F5" s="8" t="n">
        <x:v>4</x:v>
      </x:c>
      <x:c r="G5" s="8" t="n">
        <x:v>4</x:v>
      </x:c>
      <x:c r="H5" s="8" t="n">
        <x:v>0.8</x:v>
      </x:c>
      <x:c r="I5" s="8" t="n">
        <x:v>3</x:v>
      </x:c>
      <x:c r="J5" s="8" t="n">
        <x:v>0.7</x:v>
      </x:c>
      <x:c r="K5" s="8" t="n">
        <x:v>1</x:v>
      </x:c>
      <x:c r="L5" s="8" t="n">
        <x:v>0.2</x:v>
      </x:c>
      <x:c r="M5" s="12" t="n">
        <x:f aca="0">IF(COUNT(F5:L5)&lt;7,"",ROUND(F5*G5*H5/I5*(0.5+0.5*AVERAGE(J5:K5))*(1-0.5*L5),2))</x:f>
        <x:v>3.55</x:v>
      </x:c>
      <x:c r="N5" s="12" t="n">
        <x:f aca="0">IF(M5="","",COUNTIF($M$5:$M$14,"&gt;"&amp;M5)+1)</x:f>
        <x:v>4</x:v>
      </x:c>
      <x:c r="O5" s="13" t="str">
        <x:f aca="0">IF(B5="","",IF(OR(D5="",E5=""),"Thiếu","Có"))</x:f>
        <x:v>Có</x:v>
      </x:c>
      <x:c r="P5" s="14" t="str">
        <x:v>Tự làm</x:v>
      </x:c>
      <x:c r="Q5" s="14" t="str">
        <x:v>Làm sau nhập tệp gốc; thử trên 40 ca và giữ kiểm tra lỗi nghiêm trọng.</x:v>
      </x:c>
    </x:row>
    <x:row r="6" ht="23.25" hidden="0" customHeight="1">
      <x:c r="A6" s="11" t="n">
        <x:v>2</x:v>
      </x:c>
      <x:c r="B6" s="8" t="str">
        <x:v>Gắn cờ hoá đơn cần người xem</x:v>
      </x:c>
      <x:c r="C6" s="8" t="str">
        <x:v>Kế toán chỉ xem khoảng 20% hoá đơn</x:v>
      </x:c>
      <x:c r="D6" s="8" t="str">
        <x:v>Ta tin rằng dùng độ tin cậy và quy tắc kiểm tra sẽ chỉ chuyển ca bất thường cho kế toán, giúp tỷ lệ cần xem giảm xuống khoảng 20% mà vẫn bắt được lỗi nghiêm trọng.</x:v>
      </x:c>
      <x:c r="E6" s="8" t="str">
        <x:v>Tỷ lệ hoá đơn cần người xem ≤20%; 0 lỗi mã số thuế hoặc tiền trên 40 ca; bắt được 100% lỗi nghiêm trọng.</x:v>
      </x:c>
      <x:c r="F6" s="8" t="n">
        <x:v>5</x:v>
      </x:c>
      <x:c r="G6" s="8" t="n">
        <x:v>5</x:v>
      </x:c>
      <x:c r="H6" s="8" t="n">
        <x:v>0.8</x:v>
      </x:c>
      <x:c r="I6" s="8" t="n">
        <x:v>2</x:v>
      </x:c>
      <x:c r="J6" s="8" t="n">
        <x:v>1</x:v>
      </x:c>
      <x:c r="K6" s="8" t="n">
        <x:v>1</x:v>
      </x:c>
      <x:c r="L6" s="8" t="n">
        <x:v>0.2</x:v>
      </x:c>
      <x:c r="M6" s="12" t="n">
        <x:f aca="0">IF(COUNT(F6:L6)&lt;7,"",ROUND(F6*G6*H6/I6*(0.5+0.5*AVERAGE(J6:K6))*(1-0.5*L6),2))</x:f>
        <x:v>9</x:v>
      </x:c>
      <x:c r="N6" s="32" t="n">
        <x:f>IF(M6="","",COUNTIF($M$5:$M$14,"&gt;"&amp;M6)+1)</x:f>
        <x:v>3</x:v>
      </x:c>
      <x:c r="O6" s="13" t="str">
        <x:f>IF(B6="","",IF(OR(D6="",E6=""),"Thiếu","Có"))</x:f>
        <x:v>Có</x:v>
      </x:c>
      <x:c r="P6" s="14" t="str">
        <x:v>Tự làm</x:v>
      </x:c>
      <x:c r="Q6" s="14" t="str">
        <x:v>Giảm người xem nhưng vẫn giữ cờ khi thiếu tin cậy; không đánh đổi lỗi nghiêm trọng.</x:v>
      </x:c>
    </x:row>
    <x:row r="7" ht="23.25" hidden="0" customHeight="1">
      <x:c r="A7" s="11" t="n">
        <x:v>3</x:v>
      </x:c>
      <x:c r="B7" s="8" t="str">
        <x:v>Nhập tự động hoá đơn điện tử (tệp gốc)</x:v>
      </x:c>
      <x:c r="C7" s="8" t="str">
        <x:v>Giảm 70% thời gian nhập hoá đơn điện tử</x:v>
      </x:c>
      <x:c r="D7" s="8" t="str">
        <x:v>Ta tin rằng dùng tính năng nhập tệp gốc sẵn có của phần mềm kế toán sẽ giúp văn phòng giảm ít nhất 70% thời gian nhập hoá đơn điện tử mà không sai mã số thuế hoặc tiền.</x:v>
      </x:c>
      <x:c r="E7" s="8" t="str">
        <x:v>Thời gian nhập giảm ≥70%; 0 lỗi mã số thuế hoặc tiền trên 40 ca; tỷ lệ đạt quy về thực tế ≥95%.</x:v>
      </x:c>
      <x:c r="F7" s="8" t="n">
        <x:v>4</x:v>
      </x:c>
      <x:c r="G7" s="8" t="n">
        <x:v>5</x:v>
      </x:c>
      <x:c r="H7" s="8" t="n">
        <x:v>1</x:v>
      </x:c>
      <x:c r="I7" s="8" t="n">
        <x:v>1</x:v>
      </x:c>
      <x:c r="J7" s="8" t="n">
        <x:v>1</x:v>
      </x:c>
      <x:c r="K7" s="8" t="n">
        <x:v>1</x:v>
      </x:c>
      <x:c r="L7" s="8" t="n">
        <x:v>0.1</x:v>
      </x:c>
      <x:c r="M7" s="12" t="n">
        <x:f aca="0">IF(COUNT(F7:L7)&lt;7,"",ROUND(F7*G7*H7/I7*(0.5+0.5*AVERAGE(J7:K7))*(1-0.5*L7),2))</x:f>
        <x:v>19</x:v>
      </x:c>
      <x:c r="N7" s="32" t="n">
        <x:f>IF(M7="","",COUNTIF($M$5:$M$14,"&gt;"&amp;M7)+1)</x:f>
        <x:v>1</x:v>
      </x:c>
      <x:c r="O7" s="13" t="str">
        <x:f>IF(B7="","",IF(OR(D7="",E7=""),"Thiếu","Có"))</x:f>
        <x:v>Có</x:v>
      </x:c>
      <x:c r="P7" s="14" t="str">
        <x:v>Tự làm</x:v>
      </x:c>
      <x:c r="Q7" s="14" t="str">
        <x:v>Ưu tiên trước vì phần mềm đã có tính năng nhập tệp gốc, tác động nhanh và dữ liệu sẵn.</x:v>
      </x:c>
    </x:row>
    <x:row r="8" ht="23.25" hidden="0" customHeight="1">
      <x:c r="A8" s="11" t="n">
        <x:v>4</x:v>
      </x:c>
      <x:c r="B8" s="8" t="str">
        <x:v>Đối chiếu mã số thuế người bán</x:v>
      </x:c>
      <x:c r="C8" s="8" t="str">
        <x:v>Không nhập nhầm người bán</x:v>
      </x:c>
      <x:c r="D8" s="8" t="str">
        <x:v>Ta tin rằng tích hợp dịch vụ tra cứu mã số thuế và chặn ca không khớp sẽ loại bỏ lỗi người bán trước khi ghi vào phần mềm.</x:v>
      </x:c>
      <x:c r="E8" s="8" t="str">
        <x:v>0 lỗi mã số thuế trên 40 ca; ≥99% lượt đối chiếu trả kết quả trong 10 giây.</x:v>
      </x:c>
      <x:c r="F8" s="8" t="n">
        <x:v>5</x:v>
      </x:c>
      <x:c r="G8" s="8" t="n">
        <x:v>5</x:v>
      </x:c>
      <x:c r="H8" s="8" t="n">
        <x:v>1</x:v>
      </x:c>
      <x:c r="I8" s="8" t="n">
        <x:v>2</x:v>
      </x:c>
      <x:c r="J8" s="8" t="n">
        <x:v>0.8</x:v>
      </x:c>
      <x:c r="K8" s="8" t="n">
        <x:v>1</x:v>
      </x:c>
      <x:c r="L8" s="8" t="n">
        <x:v>0.1</x:v>
      </x:c>
      <x:c r="M8" s="12" t="n">
        <x:f aca="0">IF(COUNT(F8:L8)&lt;7,"",ROUND(F8*G8*H8/I8*(0.5+0.5*AVERAGE(J8:K8))*(1-0.5*L8),2))</x:f>
        <x:v>11.28</x:v>
      </x:c>
      <x:c r="N8" s="32" t="n">
        <x:f>IF(M8="","",COUNTIF($M$5:$M$14,"&gt;"&amp;M8)+1)</x:f>
        <x:v>2</x:v>
      </x:c>
      <x:c r="O8" s="13" t="str">
        <x:f>IF(B8="","",IF(OR(D8="",E8=""),"Thiếu","Có"))</x:f>
        <x:v>Có</x:v>
      </x:c>
      <x:c r="P8" s="14" t="str">
        <x:v>Mua</x:v>
      </x:c>
      <x:c r="Q8" s="14" t="str">
        <x:v>Mua dịch vụ tra cứu đã có thay vì tự xây dữ liệu thuế; mục tiêu là 0 lỗi mã số thuế.</x:v>
      </x:c>
    </x:row>
    <x:row r="9" ht="23.25" hidden="0" customHeight="1">
      <x:c r="A9" s="11" t="n">
        <x:v>5</x:v>
      </x:c>
      <x:c r="B9" s="8" t="str">
        <x:v>Gợi ý tài khoản hạch toán</x:v>
      </x:c>
      <x:c r="C9" s="8" t="str">
        <x:v>Giảm 30% thời gian hạch toán</x:v>
      </x:c>
      <x:c r="D9" s="8" t="str">
        <x:v>Ta tin rằng gợi ý tài khoản dựa trên lịch sử hạch toán của từng doanh nghiệp sẽ giảm ít nhất 30% thời gian hạch toán mà vẫn được kế toán xác nhận.</x:v>
      </x:c>
      <x:c r="E9" s="8" t="str">
        <x:v>Thời gian hạch toán giảm ≥30%; ≥90% gợi ý được kế toán chấp nhận trên 100 ca có dữ liệu.</x:v>
      </x:c>
      <x:c r="F9" s="8" t="n">
        <x:v>4</x:v>
      </x:c>
      <x:c r="G9" s="8" t="n">
        <x:v>4</x:v>
      </x:c>
      <x:c r="H9" s="8" t="n">
        <x:v>0.5</x:v>
      </x:c>
      <x:c r="I9" s="8" t="n">
        <x:v>4</x:v>
      </x:c>
      <x:c r="J9" s="8" t="n">
        <x:v>0</x:v>
      </x:c>
      <x:c r="K9" s="8" t="n">
        <x:v>0.5</x:v>
      </x:c>
      <x:c r="L9" s="8" t="n">
        <x:v>0.4</x:v>
      </x:c>
      <x:c r="M9" s="12" t="n">
        <x:f aca="0">IF(COUNT(F9:L9)&lt;7,"",ROUND(F9*G9*H9/I9*(0.5+0.5*AVERAGE(J9:K9))*(1-0.5*L9),2))</x:f>
        <x:v>1</x:v>
      </x:c>
      <x:c r="N9" s="32" t="n">
        <x:f>IF(M9="","",COUNTIF($M$5:$M$14,"&gt;"&amp;M9)+1)</x:f>
        <x:v>5</x:v>
      </x:c>
      <x:c r="O9" s="13" t="str">
        <x:f>IF(B9="","",IF(OR(D9="",E9=""),"Thiếu","Có"))</x:f>
        <x:v>Có</x:v>
      </x:c>
      <x:c r="P9" s="14" t="str">
        <x:v>Chờ</x:v>
      </x:c>
      <x:c r="Q9" s="14" t="str">
        <x:v>Chưa có dữ liệu hạch toán của khách; chờ đủ dữ liệu và nhãn chuyên gia.</x:v>
      </x:c>
    </x:row>
    <x:row r="10" ht="23.25" hidden="0" customHeight="1">
      <x:c r="A10" s="11" t="n">
        <x:v>6</x:v>
      </x:c>
      <x:c r="B10" s="8" t="str">
        <x:v>Trả lời câu hỏi thuế chung cho khách của văn phòng</x:v>
      </x:c>
      <x:c r="C10" s="8" t="str">
        <x:v>Bớt cuộc gọi hỏi đáp</x:v>
      </x:c>
      <x:c r="D10" s="8" t="str">
        <x:v>Ta tin rằng trợ lý chỉ trả lời câu hỏi thuế thường gặp có nguồn và chuyển câu hỏi không chắc chắn cho kế toán sẽ giảm ít nhất 20% cuộc gọi hỏi đáp.</x:v>
      </x:c>
      <x:c r="E10" s="8" t="str">
        <x:v>Số cuộc gọi hỏi đáp giảm ≥20%; ≥95% câu trả lời đúng trên 40 câu do kế toán xác nhận.</x:v>
      </x:c>
      <x:c r="F10" s="8" t="n">
        <x:v>2</x:v>
      </x:c>
      <x:c r="G10" s="8" t="n">
        <x:v>2</x:v>
      </x:c>
      <x:c r="H10" s="8" t="n">
        <x:v>0.5</x:v>
      </x:c>
      <x:c r="I10" s="8" t="n">
        <x:v>3</x:v>
      </x:c>
      <x:c r="J10" s="8" t="n">
        <x:v>0.4</x:v>
      </x:c>
      <x:c r="K10" s="8" t="n">
        <x:v>0.4</x:v>
      </x:c>
      <x:c r="L10" s="8" t="n">
        <x:v>0.8</x:v>
      </x:c>
      <x:c r="M10" s="12" t="n">
        <x:f aca="0">IF(COUNT(F10:L10)&lt;7,"",ROUND(F10*G10*H10/I10*(0.5+0.5*AVERAGE(J10:K10))*(1-0.5*L10),2))</x:f>
        <x:v>0.28</x:v>
      </x:c>
      <x:c r="N10" s="32" t="n">
        <x:f>IF(M10="","",COUNTIF($M$5:$M$14,"&gt;"&amp;M10)+1)</x:f>
        <x:v>6</x:v>
      </x:c>
      <x:c r="O10" s="13" t="str">
        <x:f>IF(B10="","",IF(OR(D10="",E10=""),"Thiếu","Có"))</x:f>
        <x:v>Có</x:v>
      </x:c>
      <x:c r="P10" s="14" t="str">
        <x:v>Chờ</x:v>
      </x:c>
      <x:c r="Q10" s="14" t="str">
        <x:v>Rủi ro bị mô hình sẵn có thay thế cao; chưa ưu tiên khi nghiệp vụ hoá đơn chưa ổn định.</x:v>
      </x:c>
    </x:row>
    <x:row r="11" ht="15" hidden="0" customHeight="1">
      <x:c r="A11" s="11" t="n">
        <x:v>7</x:v>
      </x:c>
      <x:c r="B11" s="8"/>
      <x:c r="C11" s="8"/>
      <x:c r="D11" s="8"/>
      <x:c r="E11" s="8"/>
      <x:c r="F11" s="8"/>
      <x:c r="G11" s="8"/>
      <x:c r="H11" s="8"/>
      <x:c r="I11" s="8"/>
      <x:c r="J11" s="8"/>
      <x:c r="K11" s="8"/>
      <x:c r="L11" s="8"/>
      <x:c r="M11" s="12" t="str">
        <x:f aca="0">IF(COUNT(F11:L11)&lt;7,"",ROUND(F11*G11*H11/I11*(0.5+0.5*AVERAGE(J11:K11))*(1-0.5*L11),2))</x:f>
      </x:c>
      <x:c r="N11" s="32" t="str">
        <x:f>IF(M11="","",COUNTIF($M$5:$M$14,"&gt;"&amp;M11)+1)</x:f>
      </x:c>
      <x:c r="O11" s="13" t="str">
        <x:f>IF(B11="","",IF(OR(D11="",E11=""),"Thiếu","Có"))</x:f>
      </x:c>
      <x:c r="P11" s="14"/>
      <x:c r="Q11" s="14"/>
    </x:row>
    <x:row r="12" ht="15" hidden="0" customHeight="1">
      <x:c r="A12" s="11" t="n">
        <x:v>8</x:v>
      </x:c>
      <x:c r="B12" s="8"/>
      <x:c r="C12" s="8"/>
      <x:c r="D12" s="8"/>
      <x:c r="E12" s="8"/>
      <x:c r="F12" s="8"/>
      <x:c r="G12" s="8"/>
      <x:c r="H12" s="8"/>
      <x:c r="I12" s="8"/>
      <x:c r="J12" s="8"/>
      <x:c r="K12" s="8"/>
      <x:c r="L12" s="8"/>
      <x:c r="M12" s="12" t="str">
        <x:f aca="0">IF(COUNT(F12:L12)&lt;7,"",ROUND(F12*G12*H12/I12*(0.5+0.5*AVERAGE(J12:K12))*(1-0.5*L12),2))</x:f>
      </x:c>
      <x:c r="N12" s="32" t="str">
        <x:f>IF(M12="","",COUNTIF($M$5:$M$14,"&gt;"&amp;M12)+1)</x:f>
      </x:c>
      <x:c r="O12" s="13" t="str">
        <x:f>IF(B12="","",IF(OR(D12="",E12=""),"Thiếu","Có"))</x:f>
      </x:c>
      <x:c r="P12" s="14"/>
      <x:c r="Q12" s="14"/>
    </x:row>
    <x:row r="13" ht="15" hidden="0" customHeight="1">
      <x:c r="A13" s="11" t="n">
        <x:v>9</x:v>
      </x:c>
      <x:c r="B13" s="8"/>
      <x:c r="C13" s="8"/>
      <x:c r="D13" s="8"/>
      <x:c r="E13" s="8"/>
      <x:c r="F13" s="8"/>
      <x:c r="G13" s="8"/>
      <x:c r="H13" s="8"/>
      <x:c r="I13" s="8"/>
      <x:c r="J13" s="8"/>
      <x:c r="K13" s="8"/>
      <x:c r="L13" s="8"/>
      <x:c r="M13" s="12" t="str">
        <x:f aca="0">IF(COUNT(F13:L13)&lt;7,"",ROUND(F13*G13*H13/I13*(0.5+0.5*AVERAGE(J13:K13))*(1-0.5*L13),2))</x:f>
      </x:c>
      <x:c r="N13" s="32" t="str">
        <x:f>IF(M13="","",COUNTIF($M$5:$M$14,"&gt;"&amp;M13)+1)</x:f>
      </x:c>
      <x:c r="O13" s="13" t="str">
        <x:f>IF(B13="","",IF(OR(D13="",E13=""),"Thiếu","Có"))</x:f>
      </x:c>
      <x:c r="P13" s="14"/>
      <x:c r="Q13" s="14"/>
    </x:row>
    <x:row r="14" ht="15" hidden="0" customHeight="1">
      <x:c r="A14" s="11" t="n">
        <x:v>10</x:v>
      </x:c>
      <x:c r="B14" s="8"/>
      <x:c r="C14" s="8"/>
      <x:c r="D14" s="8"/>
      <x:c r="E14" s="8"/>
      <x:c r="F14" s="8"/>
      <x:c r="G14" s="8"/>
      <x:c r="H14" s="8"/>
      <x:c r="I14" s="8"/>
      <x:c r="J14" s="8"/>
      <x:c r="K14" s="8"/>
      <x:c r="L14" s="8"/>
      <x:c r="M14" s="12" t="str">
        <x:f aca="0">IF(COUNT(F14:L14)&lt;7,"",ROUND(F14*G14*H14/I14*(0.5+0.5*AVERAGE(J14:K14))*(1-0.5*L14),2))</x:f>
      </x:c>
      <x:c r="N14" s="32" t="str">
        <x:f>IF(M14="","",COUNTIF($M$5:$M$14,"&gt;"&amp;M14)+1)</x:f>
      </x:c>
      <x:c r="O14" s="13" t="str">
        <x:f>IF(B14="","",IF(OR(D14="",E14=""),"Thiếu","Có"))</x:f>
      </x:c>
      <x:c r="P14" s="14"/>
      <x:c r="Q14" s="14"/>
    </x:row>
  </x:sheetData>
  <x:dataValidations count="4">
    <x:dataValidation type="whole" errorStyle="stop" operator="between" allowBlank="1" showDropDown="0" showInputMessage="0" showErrorMessage="1" errorTitle="Ngoài thang điểm" error="Nhập số nguyên từ 1 đến 5." sqref="F5:G14 I5:I14">
      <x:formula1>1</x:formula1>
      <x:formula2>5</x:formula2>
    </x:dataValidation>
    <x:dataValidation type="decimal" errorStyle="stop" operator="between" allowBlank="1" showDropDown="0" showInputMessage="0" showErrorMessage="1" errorTitle="Mức tự tin" error="Dùng 0,5 (đoán), 0,8 (có dấu hiệu) hoặc 1 (có số liệu)." sqref="H5:H14">
      <x:formula1>0.5</x:formula1>
      <x:formula2>1</x:formula2>
    </x:dataValidation>
    <x:dataValidation type="decimal" errorStyle="stop" operator="between" allowBlank="1" showDropDown="0" showInputMessage="0" showErrorMessage="1" errorTitle="Ngoài thang 0–1" error="Nhập số từ 0 đến 1, ví dụ 0,6." sqref="J5:L14">
      <x:formula1>0</x:formula1>
      <x:formula2>1</x:formula2>
    </x:dataValidation>
    <x:dataValidation type="list" errorStyle="stop" operator="between" allowBlank="1" showDropDown="0" showInputMessage="0" showErrorMessage="0" sqref="P5:P14">
      <x:formula1>"Tự làm,Mua,Chờ,Không làm"</x:formula1>
      <x:formula2>0</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6" style="1" hidden="0" customWidth="1"/>
    <x:col min="2" max="2" width="20" style="1" hidden="0" customWidth="1"/>
    <x:col min="3" max="3" width="34" style="1" hidden="0" customWidth="1"/>
    <x:col min="4" max="4" width="30" style="1" hidden="0" customWidth="1"/>
    <x:col min="5" max="5" width="44" style="1" hidden="0" customWidth="1"/>
    <x:col min="6" max="6" width="36" style="1" hidden="0" customWidth="1"/>
    <x:col min="7" max="8" width="12" style="1" hidden="0" customWidth="1"/>
    <x:col min="9" max="9" width="18" style="1" hidden="0" customWidth="1"/>
    <x:col min="10" max="10" width="14" style="1" hidden="0" customWidth="1"/>
    <x:col min="11" max="11" width="12" style="1" hidden="0" customWidth="1"/>
    <x:col min="12" max="12" width="13" style="1" hidden="0" customWidth="1"/>
    <x:col min="13" max="13" width="11" style="1" hidden="0" customWidth="1"/>
  </x:cols>
  <x:sheetData>
    <x:row r="1" ht="17.25" hidden="0" customHeight="1">
      <x:c r="A1" s="2" t="s">
        <x:v>57</x:v>
      </x:c>
    </x:row>
    <x:row r="2" ht="15" hidden="0" customHeight="1">
      <x:c r="A2" s="3" t="s">
        <x:v>58</x:v>
      </x:c>
    </x:row>
    <x:row r="4" ht="26.25" hidden="0" customHeight="1">
      <x:c r="A4" s="10" t="s">
        <x:v>59</x:v>
      </x:c>
      <x:c r="B4" s="10" t="s">
        <x:v>60</x:v>
      </x:c>
      <x:c r="C4" s="10" t="s">
        <x:v>61</x:v>
      </x:c>
      <x:c r="D4" s="10" t="s">
        <x:v>62</x:v>
      </x:c>
      <x:c r="E4" s="10" t="s">
        <x:v>63</x:v>
      </x:c>
      <x:c r="F4" s="10" t="s">
        <x:v>64</x:v>
      </x:c>
      <x:c r="G4" s="10" t="s">
        <x:v>65</x:v>
      </x:c>
      <x:c r="H4" s="10" t="s">
        <x:v>66</x:v>
      </x:c>
      <x:c r="I4" s="10" t="s">
        <x:v>67</x:v>
      </x:c>
      <x:c r="J4" s="10" t="s">
        <x:v>68</x:v>
      </x:c>
      <x:c r="K4" s="10" t="s">
        <x:v>69</x:v>
      </x:c>
      <x:c r="L4" s="10" t="s">
        <x:v>70</x:v>
      </x:c>
      <x:c r="M4" s="10" t="s">
        <x:v>71</x:v>
      </x:c>
    </x:row>
    <x:row r="5" ht="48" hidden="0" customHeight="1">
      <x:c r="A5" s="11" t="n">
        <x:v>0</x:v>
      </x:c>
      <x:c r="B5" s="8" t="s">
        <x:v>72</x:v>
      </x:c>
      <x:c r="C5" s="8" t="str">
        <x:v>Gợi ý trường dữ liệu, cảnh báo thiếu hoặc nghi ngờ; không tự ghi.</x:v>
      </x:c>
      <x:c r="D5" s="8" t="str">
        <x:v>Kế toán viên kiểm tra 100%, sửa và nhập.</x:v>
      </x:c>
      <x:c r="E5" s="8" t="str">
        <x:v>Chưa áp dụng; chỉ quan sát lỗi trên 40 ca.</x:v>
      </x:c>
      <x:c r="F5" s="8" t="str">
        <x:v>Tệp gốc/ảnh hoá đơn; phần mềm kế toán; nhật ký chỉnh sửa; thông báo AI.</x:v>
      </x:c>
      <x:c r="G5" s="8" t="str">
        <x:v>0–1 tháng</x:v>
      </x:c>
      <x:c r="H5" s="15" t="n">
        <x:v>1</x:v>
      </x:c>
      <x:c r="I5" s="14" t="str">
        <x:v>Người của mình</x:v>
      </x:c>
      <x:c r="J5" s="16" t="n">
        <x:f aca="0">IF(H5="","",$B$12+$B$13+IF(I5="Người của mình",H5*$B$14*$B$15/60,0))</x:f>
        <x:v>1704</x:v>
      </x:c>
      <x:c r="K5" s="17" t="n">
        <x:f aca="0">IF(J5="","",IFERROR(($B$16-$B$17*J5)/$B$16,""))</x:f>
        <x:v>0.24457430730478588</x:v>
      </x:c>
      <x:c r="L5" s="18" t="str">
        <x:f aca="0">IF(K5="","",IF(K5&gt;=0.6,"Đạt","Dưới ngưỡng"))</x:f>
        <x:v>Dưới ngưỡng</x:v>
      </x:c>
    </x:row>
    <x:row r="6" ht="48" hidden="0" customHeight="1">
      <x:c r="A6" s="11" t="n">
        <x:v>1</x:v>
      </x:c>
      <x:c r="B6" s="8" t="s">
        <x:v>73</x:v>
      </x:c>
      <x:c r="C6" s="8" t="str">
        <x:v>Đọc, đối chiếu và đề xuất nhập; gắn cờ ca nghi ngờ.</x:v>
      </x:c>
      <x:c r="D6" s="8" t="str">
        <x:v>Kế toán viên duyệt khoảng 20%, xử lý cờ và mẫu 10%; xác nhận trước khi ghi.</x:v>
      </x:c>
      <x:c r="E6" s="8" t="str">
        <x:v>Tỷ lệ đạt quy về thực tế ≥95%, 0 lỗi nghiêm trọng, trên 40 ca, chị Hạnh xác nhận.</x:v>
      </x:c>
      <x:c r="F6" s="8" t="str">
        <x:v>Bộ đề 40 ca đủ 4 tầng; tệp gốc/ảnh; phần mềm kế toán; nhật ký; tuân thủ Luật AI 134/2025/QH15.</x:v>
      </x:c>
      <x:c r="G6" s="8" t="str">
        <x:v>1–3 tháng</x:v>
      </x:c>
      <x:c r="H6" s="15" t="n">
        <x:v>0.2</x:v>
      </x:c>
      <x:c r="I6" s="14" t="str">
        <x:v>Người của mình</x:v>
      </x:c>
      <x:c r="J6" s="16" t="n">
        <x:f aca="0">IF(H6="","",$B$12+$B$13+IF(I6="Người của mình",H6*$B$14*$B$15/60,0))</x:f>
        <x:v>704</x:v>
      </x:c>
      <x:c r="K6" s="17" t="n">
        <x:f aca="0">IF(J6="","",IFERROR(($B$16-$B$17*J6)/$B$16,""))</x:f>
        <x:v>0.6878992443324937</x:v>
      </x:c>
      <x:c r="L6" s="18" t="str">
        <x:f aca="0">IF(K6="","",IF(K6&gt;=0.6,"Đạt","Dưới ngưỡng"))</x:f>
        <x:v>Đạt</x:v>
      </x:c>
      <x:c r="M6" s="18" t="str">
        <x:f aca="0">IF(E6="","",IF(LEN(E6)&gt;0,"Có","Thiếu"))</x:f>
        <x:v>Có</x:v>
      </x:c>
    </x:row>
    <x:row r="7" ht="48" hidden="0" customHeight="1">
      <x:c r="A7" s="11" t="n">
        <x:v>2</x:v>
      </x:c>
      <x:c r="B7" s="8" t="s">
        <x:v>74</x:v>
      </x:c>
      <x:c r="C7" s="8" t="str">
        <x:v>Tự nhập ca tin cậy, gắn cờ ca rủi ro và yêu cầu duyệt.</x:v>
      </x:c>
      <x:c r="D7" s="8" t="str">
        <x:v>Kế toán viên duyệt khoảng 10%, tất cả ca bị cờ; kiểm tra lỗi và dừng khi vi phạm.</x:v>
      </x:c>
      <x:c r="E7" s="8" t="str">
        <x:v>Tỷ lệ đạt quy về thực tế ≥97%, 0 lỗi mã số thuế hoặc tiền, tỷ lệ cờ thừa ≤20%, trên 200 ca, chị Hạnh xác nhận.</x:v>
      </x:c>
      <x:c r="F7" s="8" t="str">
        <x:v>Bộ đề mở rộng và hoá đơn thật ẩn danh; dịch vụ tra cứu mã số thuế; tích hợp nhập; nhật ký và cảnh báo.</x:v>
      </x:c>
      <x:c r="G7" s="8" t="str">
        <x:v>3–6 tháng</x:v>
      </x:c>
      <x:c r="H7" s="15" t="n">
        <x:v>0.1</x:v>
      </x:c>
      <x:c r="I7" s="14" t="str">
        <x:v>Người của mình</x:v>
      </x:c>
      <x:c r="J7" s="16" t="n">
        <x:f aca="0">IF(H7="","",$B$12+$B$13+IF(I7="Người của mình",H7*$B$14*$B$15/60,0))</x:f>
        <x:v>579</x:v>
      </x:c>
      <x:c r="K7" s="17" t="n">
        <x:f aca="0">IF(J7="","",IFERROR(($B$16-$B$17*J7)/$B$16,""))</x:f>
        <x:v>0.7433148614609572</x:v>
      </x:c>
      <x:c r="L7" s="18" t="str">
        <x:f aca="0">IF(K7="","",IF(K7&gt;=0.6,"Đạt","Dưới ngưỡng"))</x:f>
        <x:v>Đạt</x:v>
      </x:c>
      <x:c r="M7" s="18" t="str">
        <x:f>IF(E7="","",IF(LEN(E7)&gt;0,"Có","Thiếu"))</x:f>
        <x:v>Có</x:v>
      </x:c>
    </x:row>
    <x:row r="8" ht="48" hidden="0" customHeight="1">
      <x:c r="A8" s="11" t="n">
        <x:v>3</x:v>
      </x:c>
      <x:c r="B8" s="8" t="s">
        <x:v>75</x:v>
      </x:c>
      <x:c r="C8" s="8" t="str">
        <x:v>Tự nhập và theo dõi; cảnh báo ngay khi có lỗi.</x:v>
      </x:c>
      <x:c r="D8" s="8" t="str">
        <x:v>Kế toán viên kiểm 1% mẫu và xử lý cảnh báo; chị Hạnh duyệt kế hoạch.</x:v>
      </x:c>
      <x:c r="E8" s="8" t="str">
        <x:v>0 lỗi mã số thuế hoặc tiền và tỷ lệ cờ thừa ≤20%, trên 200 hoá đơn thật, chị Hạnh xác nhận.</x:v>
      </x:c>
      <x:c r="F8" s="8" t="str">
        <x:v>Dữ liệu thật ẩn danh; giám sát thay đổi chất lượng; cảnh báo; quy trình dừng; nhật ký; kiểm soát truy cập.</x:v>
      </x:c>
      <x:c r="G8" s="8" t="str">
        <x:v>6–12 tháng</x:v>
      </x:c>
      <x:c r="H8" s="15" t="n">
        <x:v>0.01</x:v>
      </x:c>
      <x:c r="I8" s="14" t="str">
        <x:v>Người của mình</x:v>
      </x:c>
      <x:c r="J8" s="16" t="n">
        <x:f aca="0">IF(H8="","",$B$12+$B$13+IF(I8="Người của mình",H8*$B$14*$B$15/60,0))</x:f>
        <x:v>466.5</x:v>
      </x:c>
      <x:c r="K8" s="17" t="n">
        <x:f aca="0">IF(J8="","",IFERROR(($B$16-$B$17*J8)/$B$16,""))</x:f>
        <x:v>0.7931889168765743</x:v>
      </x:c>
      <x:c r="L8" s="18" t="str">
        <x:f aca="0">IF(K8="","",IF(K8&gt;=0.6,"Đạt","Dưới ngưỡng"))</x:f>
        <x:v>Đạt</x:v>
      </x:c>
      <x:c r="M8" s="18" t="str">
        <x:f>IF(E8="","",IF(LEN(E8)&gt;0,"Có","Thiếu"))</x:f>
        <x:v>Có</x:v>
      </x:c>
    </x:row>
    <x:row r="11" ht="15" hidden="0" customHeight="1">
      <x:c r="A11" s="9" t="s">
        <x:v>76</x:v>
      </x:c>
    </x:row>
    <x:row r="12" ht="15" hidden="0" customHeight="1">
      <x:c r="A12" s="19" t="s">
        <x:v>77</x:v>
      </x:c>
      <x:c r="B12" s="20" t="n">
        <x:v>254</x:v>
      </x:c>
      <x:c r="C12" s="21" t="s">
        <x:v>78</x:v>
      </x:c>
    </x:row>
    <x:row r="13" ht="15" hidden="0" customHeight="1">
      <x:c r="A13" s="19" t="s">
        <x:v>79</x:v>
      </x:c>
      <x:c r="B13" s="20" t="n">
        <x:v>200</x:v>
      </x:c>
      <x:c r="C13" s="21" t="s">
        <x:v>80</x:v>
      </x:c>
    </x:row>
    <x:row r="14" ht="15" hidden="0" customHeight="1">
      <x:c r="A14" s="19" t="s">
        <x:v>81</x:v>
      </x:c>
      <x:c r="B14" s="22" t="n">
        <x:v>1.5</x:v>
      </x:c>
      <x:c r="C14" s="21" t="s">
        <x:v>82</x:v>
      </x:c>
    </x:row>
    <x:row r="15" ht="15" hidden="0" customHeight="1">
      <x:c r="A15" s="19" t="s">
        <x:v>83</x:v>
      </x:c>
      <x:c r="B15" s="20" t="n">
        <x:v>50000</x:v>
      </x:c>
      <x:c r="C15" s="21" t="s">
        <x:v>84</x:v>
      </x:c>
    </x:row>
    <x:row r="16" ht="15" hidden="0" customHeight="1">
      <x:c r="A16" s="19" t="s">
        <x:v>85</x:v>
      </x:c>
      <x:c r="B16" s="20" t="n">
        <x:v>3970000</x:v>
      </x:c>
      <x:c r="C16" s="21" t="s">
        <x:v>86</x:v>
      </x:c>
    </x:row>
    <x:row r="17" ht="15" hidden="0" customHeight="1">
      <x:c r="A17" s="19" t="s">
        <x:v>87</x:v>
      </x:c>
      <x:c r="B17" s="20" t="n">
        <x:v>1760</x:v>
      </x:c>
      <x:c r="C17" s="21" t="s">
        <x:v>88</x:v>
      </x:c>
    </x:row>
    <x:row r="18" ht="15" hidden="0" customHeight="1">
      <x:c r="A18" s="19" t="s">
        <x:v>89</x:v>
      </x:c>
      <x:c r="B18" s="14" t="s">
        <x:v>90</x:v>
      </x:c>
      <x:c r="C18" s="21" t="s">
        <x:v>91</x:v>
      </x:c>
    </x:row>
    <x:row r="19" ht="15" hidden="0" customHeight="1">
      <x:c r="A19" s="19" t="s">
        <x:v>92</x:v>
      </x:c>
      <x:c r="B19" s="14" t="s">
        <x:v>93</x:v>
      </x:c>
      <x:c r="C19" s="21" t="s">
        <x:v>94</x:v>
      </x:c>
    </x:row>
    <x:row r="20" ht="15" hidden="0" customHeight="1">
      <x:c r="A20" s="19" t="s">
        <x:v>95</x:v>
      </x:c>
      <x:c r="B20" s="23" t="n">
        <x:v>7</x:v>
      </x:c>
      <x:c r="C20" s="21" t="s">
        <x:v>96</x:v>
      </x:c>
    </x:row>
    <x:row r="22" ht="15" hidden="0" customHeight="1">
      <x:c r="A22" s="21" t="s">
        <x:v>97</x:v>
      </x:c>
    </x:row>
    <x:row r="23" ht="15" hidden="0" customHeight="1">
      <x:c r="A23" s="21"/>
    </x:row>
  </x:sheetData>
  <x:dataValidations count="2">
    <x:dataValidation type="list" errorStyle="stop" operator="between" allowBlank="1" showDropDown="0" showInputMessage="0" showErrorMessage="0" sqref="I5:I8">
      <x:formula1>"Người của mình,Nhân viên cửa hàng"</x:formula1>
      <x:formula2>0</x:formula2>
    </x:dataValidation>
    <x:dataValidation type="decimal" errorStyle="stop" operator="between" allowBlank="1" showDropDown="0" showInputMessage="0" showErrorMessage="0" sqref="H5:H8">
      <x:formula1>0</x:formula1>
      <x:formula2>1</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30" style="1" hidden="0" customWidth="1"/>
    <x:col min="2" max="4" width="42" style="1" hidden="0" customWidth="1"/>
  </x:cols>
  <x:sheetData>
    <x:row r="1" ht="17.25" hidden="0" customHeight="1">
      <x:c r="A1" s="2" t="s">
        <x:v>98</x:v>
      </x:c>
    </x:row>
    <x:row r="2" ht="15" hidden="0" customHeight="1">
      <x:c r="A2" s="3" t="s">
        <x:v>99</x:v>
      </x:c>
    </x:row>
    <x:row r="4" ht="15" hidden="0" customHeight="1">
      <x:c r="A4" s="10" t="s">
        <x:v>100</x:v>
      </x:c>
      <x:c r="B4" s="10" t="s">
        <x:v>101</x:v>
      </x:c>
      <x:c r="C4" s="10" t="s">
        <x:v>102</x:v>
      </x:c>
      <x:c r="D4" s="10" t="s">
        <x:v>103</x:v>
      </x:c>
    </x:row>
    <x:row r="5" ht="48" hidden="0" customHeight="1">
      <x:c r="A5" s="24" t="s">
        <x:v>104</x:v>
      </x:c>
      <x:c r="B5" s="8" t="str">
        <x:v>Nhập tự động hoá đơn điện tử và đối chiếu mã số thuế</x:v>
      </x:c>
      <x:c r="C5" s="8" t="str">
        <x:v>Đọc ảnh hoá đơn giấy và giảm cờ thừa</x:v>
      </x:c>
      <x:c r="D5" s="8" t="str">
        <x:v>Tự động có giám sát 1%; thử gợi ý tài khoản khi có dữ liệu</x:v>
      </x:c>
    </x:row>
    <x:row r="6" ht="48" hidden="0" customHeight="1">
      <x:c r="A6" s="24" t="s">
        <x:v>105</x:v>
      </x:c>
      <x:c r="B6" s="8" t="str">
        <x:v>Ta tin rằng nhập tệp gốc và đối chiếu mã số thuế sẽ giúp văn phòng giảm ≥70% thời gian nhập và không có lỗi mã số thuế.</x:v>
      </x:c>
      <x:c r="C6" s="8" t="str">
        <x:v>Ta tin rằng đọc ảnh hai bước và chỉ gắn cờ ca bất thường sẽ giảm 50% giờ nhập ảnh, trong khi tỷ lệ cần xem không quá 20%.</x:v>
      </x:c>
      <x:c r="D6" s="8" t="str">
        <x:v>Ta tin rằng giám sát 1% và cảnh báo tức thời giữ được 0 lỗi mã số thuế hoặc tiền; khi có dữ liệu, gợi ý tài khoản sẽ giảm ≥30% giờ hạch toán.</x:v>
      </x:c>
    </x:row>
    <x:row r="7" ht="48" hidden="0" customHeight="1">
      <x:c r="A7" s="24" t="s">
        <x:v>44</x:v>
      </x:c>
      <x:c r="B7" s="8" t="str">
        <x:v>Giảm ≥70% thời gian nhập; 0 lỗi mã số thuế hoặc tiền trên 40 ca; tỷ lệ đạt thực tế ≥95%.</x:v>
      </x:c>
      <x:c r="C7" s="8" t="str">
        <x:v>Giảm ≥50% giờ nhập ảnh; ≤20% hoá đơn bị gắn cờ; 0 lỗi mã số thuế hoặc tiền trên 200 ca.</x:v>
      </x:c>
      <x:c r="D7" s="8" t="str">
        <x:v>0 lỗi mã số thuế hoặc tiền; tỷ lệ cờ thừa ≤20% trên 200 hoá đơn thật; ≥90% gợi ý hạch toán được chấp nhận trên 100 ca có dữ liệu.</x:v>
      </x:c>
    </x:row>
    <x:row r="8" ht="48" hidden="0" customHeight="1">
      <x:c r="A8" s="24" t="s">
        <x:v>106</x:v>
      </x:c>
      <x:c r="B8" s="8" t="str">
        <x:v>Mức 1: Hỗ trợ có duyệt</x:v>
      </x:c>
      <x:c r="C8" s="8" t="str">
        <x:v>Mức 2: Tự động một phần</x:v>
      </x:c>
      <x:c r="D8" s="8" t="str">
        <x:v>Mức 3: Tự động có giám sát</x:v>
      </x:c>
    </x:row>
    <x:row r="9" ht="48" hidden="0" customHeight="1">
      <x:c r="A9" s="24" t="s">
        <x:v>107</x:v>
      </x:c>
      <x:c r="B9" s="8" t="str">
        <x:v>Tỷ lệ đạt thực tế ≥95%, 0 lỗi nghiêm trọng, trên 40 ca, chị Hạnh xác nhận.</x:v>
      </x:c>
      <x:c r="C9" s="8" t="str">
        <x:v>Tỷ lệ đạt thực tế ≥97%, 0 lỗi mã số thuế hoặc tiền, cờ thừa ≤20%, trên 200 ca, chị Hạnh xác nhận.</x:v>
      </x:c>
      <x:c r="D9" s="8" t="str">
        <x:v>0 lỗi mã số thuế hoặc tiền và cờ thừa ≤20% trên 200 hoá đơn thật, chị Hạnh xác nhận.</x:v>
      </x:c>
    </x:row>
    <x:row r="10" ht="48" hidden="0" customHeight="1">
      <x:c r="A10" s="24" t="s">
        <x:v>108</x:v>
      </x:c>
      <x:c r="B10" s="8" t="str">
        <x:v>Tệp gốc; phần mềm kế toán; dịch vụ tra cứu mã số thuế; bộ đề 40 ca; nhật ký; người duyệt; tuân thủ Luật AI.</x:v>
      </x:c>
      <x:c r="C10" s="8" t="str">
        <x:v>Ảnh thật ẩn danh; bộ đề mở rộng; OCR hai bước; dịch vụ tra cứu mã số thuế; log và cảnh báo.</x:v>
      </x:c>
      <x:c r="D10" s="8" t="str">
        <x:v>Dữ liệu thật ẩn danh; giám sát chất lượng; cảnh báo; quy trình dừng; kiểm soát truy cập; dữ liệu hạch toán có nhãn.</x:v>
      </x:c>
    </x:row>
    <x:row r="11" ht="48" hidden="0" customHeight="1">
      <x:c r="A11" s="24" t="s">
        <x:v>109</x:v>
      </x:c>
      <x:c r="B11" s="8" t="str">
        <x:v>Doanh thu 3,97 triệu/khách/tháng, 1.760 việc/tháng; chi phí 704đ/việc ở Mức 1, biên khoảng 68,8%.</x:v>
      </x:c>
      <x:c r="C11" s="8" t="str">
        <x:v>Chi phí khoảng 579đ/việc ở Mức 2, biên khoảng 74,3%; kịch bản xấu hết tiền tháng 7.</x:v>
      </x:c>
      <x:c r="D11" s="8" t="str">
        <x:v>Chi phí khoảng 466,5đ/việc ở Mức 3, biên khoảng 79,3%; chỉ mở rộng nếu doanh thu vẫn ≥3,71 triệu/văn phòng.</x:v>
      </x:c>
    </x:row>
    <x:row r="12" ht="48" hidden="0" customHeight="1">
      <x:c r="A12" s="24" t="s">
        <x:v>110</x:v>
      </x:c>
      <x:c r="B12" s="8" t="str">
        <x:v>Nếu doanh thu &lt;3,71 triệu/văn phòng trong 2 tháng liên tiếp trên ≥10 văn phòng, dừng mở rộng; có 1 lỗi mã số thuế hoặc tiền thì dừng và sửa.</x:v>
      </x:c>
      <x:c r="C12" s="8" t="str">
        <x:v>Nếu cờ thừa &gt;20% trong 2 tuần hoặc có lỗi nghiêm trọng, quay lại Mức 1 và điều tra.</x:v>
      </x:c>
      <x:c r="D12" s="8" t="str">
        <x:v>Nếu doanh thu &lt;3,71 triệu trong 2 tháng trên ≥10 văn phòng, hoặc lỗi mã số thuế/tiền xuất hiện, dừng Mức 3 và quay lại Mức 2.</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796875" defaultRowHeight="15"/>
  <x:cols>
    <x:col min="1" max="1" width="34" style="1" hidden="0" customWidth="1"/>
    <x:col min="2" max="3" width="40" style="1" hidden="0" customWidth="1"/>
    <x:col min="4" max="4" width="28" style="1" hidden="0" customWidth="1"/>
  </x:cols>
  <x:sheetData>
    <x:row r="1" ht="17.25" hidden="0" customHeight="1">
      <x:c r="A1" s="2" t="s">
        <x:v>111</x:v>
      </x:c>
    </x:row>
    <x:row r="2" ht="15" hidden="0" customHeight="1">
      <x:c r="A2" s="3" t="s">
        <x:v>112</x:v>
      </x:c>
    </x:row>
    <x:row r="4" ht="15" hidden="0" customHeight="1">
      <x:c r="A4" s="10" t="s">
        <x:v>113</x:v>
      </x:c>
      <x:c r="B4" s="10" t="s">
        <x:v>114</x:v>
      </x:c>
      <x:c r="C4" s="10" t="s">
        <x:v>115</x:v>
      </x:c>
      <x:c r="D4" s="10" t="s">
        <x:v>116</x:v>
      </x:c>
    </x:row>
    <x:row r="5" ht="15" hidden="0" customHeight="1">
      <x:c r="A5" s="8" t="s">
        <x:v>117</x:v>
      </x:c>
      <x:c r="B5" s="8" t="str">
        <x:v>Tỷ lệ đạt thực tế, lỗi mã số thuế/tiền, thời gian nhập</x:v>
      </x:c>
      <x:c r="C5" s="8" t="str">
        <x:v>Đi tiếp Mức 1 nếu ≥95% và 0 lỗi; nếu không thì sửa hoặc dừng</x:v>
      </x:c>
      <x:c r="D5" s="8" t="str">
        <x:v>Chị Hạnh và trưởng nhóm nhập liệu</x:v>
      </x:c>
    </x:row>
    <x:row r="6" ht="15" hidden="0" customHeight="1">
      <x:c r="A6" s="8" t="s">
        <x:v>118</x:v>
      </x:c>
      <x:c r="B6" s="8" t="str">
        <x:v>Tỷ lệ cờ thừa, lỗi nghiêm trọng, thời gian nhập ảnh</x:v>
      </x:c>
      <x:c r="C6" s="8" t="str">
        <x:v>Tăng lên Mức 2 nếu cờ thừa ≤20%, 0 lỗi và đạt cổng trên 200 ca</x:v>
      </x:c>
      <x:c r="D6" s="8" t="str">
        <x:v>Chị Hạnh</x:v>
      </x:c>
    </x:row>
    <x:row r="7" ht="15" hidden="0" customHeight="1">
      <x:c r="A7" s="8" t="s">
        <x:v>119</x:v>
      </x:c>
      <x:c r="B7" s="8" t="str">
        <x:v>Doanh thu bình quân, 3,71 triệu, số văn phòng dùng và lỗi phát sinh</x:v>
      </x:c>
      <x:c r="C7" s="8" t="str">
        <x:v>Mở rộng, giữ mức, đổi hướng hoặc dừng theo điều kiện kinh tế</x:v>
      </x:c>
      <x:c r="D7" s="8" t="str">
        <x:v>Ban lãnh đạo và chị Hạnh</x:v>
      </x:c>
    </x:row>
    <x:row r="8" ht="15" hidden="0" customHeight="1">
      <x:c r="A8" s="8" t="s">
        <x:v>120</x:v>
      </x:c>
      <x:c r="B8" s="8" t="str">
        <x:v>Chi phí AI/việc, biên lợi nhuận và tỷ lệ lỗi sau khi mô hình hoặc giá gọi thay đổi</x:v>
      </x:c>
      <x:c r="C8" s="8" t="str">
        <x:v>Mua hoặc đổi mô hình nếu biên dưới 60% mà chất lượng vẫn đạt</x:v>
      </x:c>
      <x:c r="D8" s="8" t="str">
        <x:v>Trưởng sản phẩm và kế toán</x:v>
      </x:c>
    </x:row>
    <x:row r="9" ht="15" hidden="0" customHeight="1">
      <x:c r="A9" s="8" t="s">
        <x:v>121</x:v>
      </x:c>
      <x:c r="B9" s="8" t="str">
        <x:v>Tỷ lệ cờ thừa, thời gian nhập và lợi ích so với đối thủ</x:v>
      </x:c>
      <x:c r="C9" s="8" t="str">
        <x:v>Giữ khác biệt, điều chỉnh giá hoặc đổi hướng nếu lợi ích không còn</x:v>
      </x:c>
      <x:c r="D9" s="8" t="str">
        <x:v>Ban lãnh đạo</x:v>
      </x:c>
    </x:row>
    <x:row r="10" ht="15" hidden="0" customHeight="1">
      <x:c r="A10" s="8" t="s">
        <x:v>122</x:v>
      </x:c>
      <x:c r="B10" s="8" t="str">
        <x:v>Thông báo AI, nhật ký, quyền truy cập và yêu cầu bảo vệ dữ liệu</x:v>
      </x:c>
      <x:c r="C10" s="8" t="str">
        <x:v>Tạm dừng mở rộng cho đến khi rà soát tuân thủ hoàn tất</x:v>
      </x:c>
      <x:c r="D10" s="8" t="str">
        <x:v>Người phụ trách tuân thủ và ban lãnh đạo</x:v>
      </x:c>
    </x:row>
    <x:row r="12" ht="15" hidden="0" customHeight="1">
      <x:c r="A12" s="21" t="s">
        <x:v>123</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796875" defaultRowHeight="15"/>
  <x:cols>
    <x:col min="1" max="1" width="32" style="1" hidden="0" customWidth="1"/>
    <x:col min="2" max="2" width="90" style="1" hidden="0" customWidth="1"/>
    <x:col min="3" max="3" width="8" style="1" hidden="0" customWidth="1"/>
    <x:col min="4" max="4" width="12" style="1" hidden="0" customWidth="1"/>
  </x:cols>
  <x:sheetData>
    <x:row r="1" ht="17.25" hidden="0" customHeight="1">
      <x:c r="A1" s="2" t="s">
        <x:v>124</x:v>
      </x:c>
    </x:row>
    <x:row r="2" ht="15" hidden="0" customHeight="1">
      <x:c r="A2" s="3" t="s">
        <x:v>125</x:v>
      </x:c>
    </x:row>
    <x:row r="3" ht="15" hidden="0" customHeight="1">
      <x:c r="C3" s="25" t="s">
        <x:v>126</x:v>
      </x:c>
      <x:c r="D3" s="25" t="s">
        <x:v>127</x:v>
      </x:c>
    </x:row>
    <x:row r="4" ht="33.75" hidden="0" customHeight="1">
      <x:c r="A4" s="25" t="s">
        <x:v>128</x:v>
      </x:c>
      <x:c r="B4" s="8" t="str">
        <x:v>Ưu tiên nhập tự động hoá đơn điện tử và đối chiếu mã số thuế trong 0–3 tháng; mục tiêu giảm ≥70% thời gian nhập và 0 lỗi mã số thuế/tiền trên 40 ca.</x:v>
      </x:c>
      <x:c r="C4" s="26" t="n">
        <x:f aca="0">IF(TRIM(B4)="",0,LEN(TRIM(B4))-LEN(SUBSTITUTE(TRIM(B4)," ",""))+1)</x:f>
        <x:v>34</x:v>
      </x:c>
      <x:c r="D4" s="18" t="str">
        <x:f aca="0">IF(C4=0,"Trống",IF(C4&gt;60,"Quá 60 chữ","Đạt"))</x:f>
        <x:v>Đạt</x:v>
      </x:c>
    </x:row>
    <x:row r="5" ht="33.75" hidden="0" customHeight="1">
      <x:c r="A5" s="25" t="s">
        <x:v>129</x:v>
      </x:c>
      <x:c r="B5" s="8" t="str">
        <x:v>1) Nhập tệp gốc; 2) Đối chiếu mã số thuế; 3) Mở rộng đọc ảnh và giữ cờ thừa ≤20%.</x:v>
      </x:c>
      <x:c r="C5" s="26" t="n">
        <x:f aca="0">IF(TRIM(B5)="",0,LEN(TRIM(B5))-LEN(SUBSTITUTE(TRIM(B5)," ",""))+1)</x:f>
        <x:v>20</x:v>
      </x:c>
      <x:c r="D5" s="18" t="str">
        <x:f aca="0">IF(C5=0,"Trống",IF(C5&gt;60,"Quá 60 chữ","Đạt"))</x:f>
        <x:v>Đạt</x:v>
      </x:c>
    </x:row>
    <x:row r="6" ht="33.75" hidden="0" customHeight="1">
      <x:c r="A6" s="25" t="s">
        <x:v>130</x:v>
      </x:c>
      <x:c r="B6" s="8" t="str">
        <x:v>Cần phần mềm kế toán hiện có, dịch vụ tra cứu mã số thuế, bộ đề 40 ca và hoá đơn thật ẩn danh; chị Hạnh duyệt theo mẫu.</x:v>
      </x:c>
      <x:c r="C6" s="26" t="n">
        <x:f aca="0">IF(TRIM(B6)="",0,LEN(TRIM(B6))-LEN(SUBSTITUTE(TRIM(B6)," ",""))+1)</x:f>
        <x:v>29</x:v>
      </x:c>
      <x:c r="D6" s="18" t="str">
        <x:f aca="0">IF(C6=0,"Trống",IF(C6&gt;60,"Quá 60 chữ","Đạt"))</x:f>
        <x:v>Đạt</x:v>
      </x:c>
    </x:row>
    <x:row r="7" ht="33.75" hidden="0" customHeight="1">
      <x:c r="A7" s="25" t="s">
        <x:v>131</x:v>
      </x:c>
      <x:c r="B7" s="8" t="str">
        <x:v>Rủi ro lớn nhất là lỗi mã số thuế hoặc tiền. Giữ người duyệt, cảnh báo ngay khi có 1 lỗi và quay lại mức trước để sửa.</x:v>
      </x:c>
      <x:c r="C7" s="26" t="n">
        <x:f aca="0">IF(TRIM(B7)="",0,LEN(TRIM(B7))-LEN(SUBSTITUTE(TRIM(B7)," ",""))+1)</x:f>
        <x:v>28</x:v>
      </x:c>
      <x:c r="D7" s="18" t="str">
        <x:f aca="0">IF(C7=0,"Trống",IF(C7&gt;60,"Quá 60 chữ","Đạt"))</x:f>
        <x:v>Đạt</x:v>
      </x:c>
    </x:row>
    <x:row r="8" ht="33.75" hidden="0" customHeight="1">
      <x:c r="A8" s="25" t="s">
        <x:v>132</x:v>
      </x:c>
      <x:c r="B8" s="8" t="str">
        <x:v>Xem lại ngày 30/60/90; dừng mở rộng nếu doanh thu &lt;3,71 triệu/văn phòng trong 2 tháng liên tiếp trên ≥10 văn phòng.</x:v>
      </x:c>
      <x:c r="C8" s="26" t="n">
        <x:f aca="0">IF(TRIM(B8)="",0,LEN(TRIM(B8))-LEN(SUBSTITUTE(TRIM(B8)," ",""))+1)</x:f>
        <x:v>22</x:v>
      </x:c>
      <x:c r="D8" s="18" t="str">
        <x:f aca="0">IF(C8=0,"Trống",IF(C8&gt;60,"Quá 60 chữ","Đạt"))</x:f>
        <x:v>Đạt</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8.6796875" defaultRowHeight="15"/>
  <x:cols>
    <x:col min="1" max="1" width="66" style="1" hidden="0" customWidth="1"/>
    <x:col min="2" max="3" width="14" style="1" hidden="0" customWidth="1"/>
  </x:cols>
  <x:sheetData>
    <x:row r="1" ht="17.25" hidden="0" customHeight="1">
      <x:c r="A1" s="2" t="s">
        <x:v>133</x:v>
      </x:c>
    </x:row>
    <x:row r="2" ht="15" hidden="0" customHeight="1">
      <x:c r="A2" s="3" t="s">
        <x:v>134</x:v>
      </x:c>
    </x:row>
    <x:row r="4" ht="15" hidden="0" customHeight="1">
      <x:c r="A4" s="10" t="s">
        <x:v>135</x:v>
      </x:c>
      <x:c r="B4" s="10" t="s">
        <x:v>136</x:v>
      </x:c>
      <x:c r="C4" s="10" t="s">
        <x:v>127</x:v>
      </x:c>
    </x:row>
    <x:row r="5" ht="15" hidden="0" customHeight="1">
      <x:c r="A5" s="11" t="s">
        <x:v>137</x:v>
      </x:c>
      <x:c r="B5" s="12" t="n">
        <x:f aca="0">COUNT('1_Danh sách việc'!M5:M14)</x:f>
        <x:v>6</x:v>
      </x:c>
      <x:c r="C5" s="12" t="str">
        <x:f aca="0">IF(B5&gt;=5,"Đạt","Xem lại")</x:f>
        <x:v>Đạt</x:v>
      </x:c>
    </x:row>
    <x:row r="6" ht="15" hidden="0" customHeight="1">
      <x:c r="A6" s="11" t="s">
        <x:v>138</x:v>
      </x:c>
      <x:c r="B6" s="12" t="n">
        <x:f aca="0">COUNTIFS('1_Danh sách việc'!O5:O14,"Thiếu",'1_Danh sách việc'!P5:P14,"&lt;&gt;Không làm")</x:f>
        <x:v>0</x:v>
      </x:c>
      <x:c r="C6" s="12" t="str">
        <x:f aca="0">IF(B5=0,"",IF(B6=0,"Đạt","Xem lại"))</x:f>
        <x:v>Đạt</x:v>
      </x:c>
    </x:row>
    <x:row r="7" ht="15" hidden="0" customHeight="1">
      <x:c r="A7" s="11" t="s">
        <x:v>139</x:v>
      </x:c>
      <x:c r="B7" s="12" t="n">
        <x:f aca="0">COUNTIF('2_Mức tự động'!M6:M8,"Có")</x:f>
        <x:v>3</x:v>
      </x:c>
      <x:c r="C7" s="12" t="str">
        <x:f aca="0">IF(B7&gt;=2,"Đạt","Xem lại")</x:f>
        <x:v>Đạt</x:v>
      </x:c>
    </x:row>
    <x:row r="8" ht="15" hidden="0" customHeight="1">
      <x:c r="A8" s="11" t="s">
        <x:v>140</x:v>
      </x:c>
      <x:c r="B8" s="12" t="n">
        <x:f aca="0">COUNTA('3_Bảng lộ trình'!B5:B12)</x:f>
        <x:v>8</x:v>
      </x:c>
      <x:c r="C8" s="12" t="str">
        <x:f aca="0">IF(B8=8,"Đạt","Xem lại")</x:f>
        <x:v>Đạt</x:v>
      </x:c>
    </x:row>
    <x:row r="9" ht="15" hidden="0" customHeight="1">
      <x:c r="A9" s="11" t="s">
        <x:v>141</x:v>
      </x:c>
      <x:c r="B9" s="12" t="str">
        <x:f aca="0">IF(AND(LEN('3_Bảng lộ trình'!B12)&gt;10,'3_Bảng lộ trình'!B12&lt;&gt;""),"Có","Chưa")</x:f>
        <x:v>Có</x:v>
      </x:c>
      <x:c r="C9" s="12" t="str">
        <x:f aca="0">IF(B9="Có","Đạt","Xem lại")</x:f>
        <x:v>Đạt</x:v>
      </x:c>
    </x:row>
    <x:row r="10" ht="15" hidden="0" customHeight="1">
      <x:c r="A10" s="11" t="s">
        <x:v>142</x:v>
      </x:c>
      <x:c r="B10" s="12" t="str">
        <x:f aca="0">IF(AND(LEN('3_Bảng lộ trình'!B11)&gt;10,'3_Bảng lộ trình'!B11&lt;&gt;""),"Có","Chưa")</x:f>
        <x:v>Có</x:v>
      </x:c>
      <x:c r="C10" s="12" t="str">
        <x:f aca="0">IF(B10="Có","Đạt","Xem lại")</x:f>
        <x:v>Đạt</x:v>
      </x:c>
    </x:row>
    <x:row r="11" ht="15" hidden="0" customHeight="1">
      <x:c r="A11" s="11" t="s">
        <x:v>143</x:v>
      </x:c>
      <x:c r="B11" s="12" t="n">
        <x:f aca="0">COUNTIF('5_Slide lãnh đạo'!D4:D8,"Đạt")</x:f>
        <x:v>5</x:v>
      </x:c>
      <x:c r="C11" s="12" t="str">
        <x:f aca="0">IF(B11=5,"Đạt","Xem lại")</x:f>
        <x:v>Đạt</x:v>
      </x:c>
    </x:row>
    <x:row r="12" ht="15" hidden="0" customHeight="1">
      <x:c r="A12" s="11" t="s">
        <x:v>144</x:v>
      </x:c>
      <x:c r="B12" s="12" t="n">
        <x:f aca="0">COUNTIF('2_Mức tự động'!L5:L8,"Đạt")</x:f>
        <x:v>3</x:v>
      </x:c>
      <x:c r="C12" s="12" t="str">
        <x:f aca="0">IF(B12&gt;=1,"Đạt","Xem lại")</x:f>
        <x:v>Đạt</x:v>
      </x:c>
    </x:row>
  </x:sheetData>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ColWidth="8.6796875" defaultRowHeight="15"/>
  <x:cols>
    <x:col min="1" max="1" width="32" style="1" hidden="0" customWidth="1"/>
    <x:col min="2" max="2" width="30" style="1" hidden="0" customWidth="1"/>
    <x:col min="3" max="3" width="80" style="1" hidden="0" customWidth="1"/>
    <x:col min="4" max="4" width="40" style="1" hidden="0" customWidth="1"/>
  </x:cols>
  <x:sheetData>
    <x:row r="1" ht="17.25" hidden="0" customHeight="1">
      <x:c r="A1" s="2" t="s">
        <x:v>145</x:v>
      </x:c>
    </x:row>
    <x:row r="2" ht="15" hidden="0" customHeight="1">
      <x:c r="A2" s="3"/>
    </x:row>
    <x:row r="4" ht="15" hidden="0" customHeight="1">
      <x:c r="A4" s="10" t="s">
        <x:v>146</x:v>
      </x:c>
      <x:c r="B4" s="10" t="s">
        <x:v>147</x:v>
      </x:c>
      <x:c r="C4" s="10" t="s">
        <x:v>148</x:v>
      </x:c>
      <x:c r="D4" s="10" t="s">
        <x:v>149</x:v>
      </x:c>
    </x:row>
    <x:row r="5" ht="15" hidden="0" customHeight="1">
      <x:c r="A5" s="11" t="s">
        <x:v>150</x:v>
      </x:c>
      <x:c r="B5" s="1" t="n">
        <x:v>20</x:v>
      </x:c>
      <x:c r="C5" s="27" t="s">
        <x:v>151</x:v>
      </x:c>
      <x:c r="D5" s="28"/>
    </x:row>
    <x:row r="6" ht="15" hidden="0" customHeight="1">
      <x:c r="A6" s="11" t="s">
        <x:v>152</x:v>
      </x:c>
      <x:c r="B6" s="1" t="n">
        <x:v>20</x:v>
      </x:c>
      <x:c r="C6" s="27" t="s">
        <x:v>153</x:v>
      </x:c>
      <x:c r="D6" s="28"/>
    </x:row>
    <x:row r="7" ht="15" hidden="0" customHeight="1">
      <x:c r="A7" s="11" t="s">
        <x:v>154</x:v>
      </x:c>
      <x:c r="B7" s="1" t="n">
        <x:v>25</x:v>
      </x:c>
      <x:c r="C7" s="27" t="s">
        <x:v>155</x:v>
      </x:c>
      <x:c r="D7" s="28"/>
    </x:row>
    <x:row r="8" ht="15" hidden="0" customHeight="1">
      <x:c r="A8" s="11" t="s">
        <x:v>156</x:v>
      </x:c>
      <x:c r="B8" s="1" t="n">
        <x:v>15</x:v>
      </x:c>
      <x:c r="C8" s="27" t="s">
        <x:v>157</x:v>
      </x:c>
      <x:c r="D8" s="28"/>
    </x:row>
    <x:row r="9" ht="15" hidden="0" customHeight="1">
      <x:c r="A9" s="11" t="s">
        <x:v>158</x:v>
      </x:c>
      <x:c r="B9" s="1" t="n">
        <x:v>20</x:v>
      </x:c>
      <x:c r="C9" s="27" t="s">
        <x:v>159</x:v>
      </x:c>
      <x:c r="D9" s="28"/>
    </x:row>
    <x:row r="10" ht="15" hidden="0" customHeight="1">
      <x:c r="A10" s="9" t="s">
        <x:v>160</x:v>
      </x:c>
      <x:c r="B10" s="1" t="n">
        <x:f aca="0">SUM(B5:B9)</x:f>
        <x:v>100</x:v>
      </x:c>
      <x:c r="D10" s="12" t="n">
        <x:f aca="0">SUM(D5:D9)</x:f>
        <x:v>0</x:v>
      </x:c>
    </x:row>
    <x:row r="12" ht="15" hidden="0" customHeight="1">
      <x:c r="A12" s="9"/>
      <x:c r="D12" s="28"/>
    </x:row>
    <x:row r="15" ht="15" hidden="0" customHeight="1">
      <x:c r="A15" s="29" t="s">
        <x:v>161</x:v>
      </x:c>
    </x:row>
    <x:row r="16" ht="15" hidden="0" customHeight="1">
      <x:c r="A16" s="10" t="s">
        <x:v>146</x:v>
      </x:c>
      <x:c r="B16" s="10" t="s">
        <x:v>162</x:v>
      </x:c>
      <x:c r="C16" s="10" t="s">
        <x:v>163</x:v>
      </x:c>
      <x:c r="D16" s="10" t="s">
        <x:v>164</x:v>
      </x:c>
    </x:row>
    <x:row r="17" ht="45.75" hidden="0" customHeight="1">
      <x:c r="A17" s="30" t="s">
        <x:v>165</x:v>
      </x:c>
      <x:c r="B17" s="31" t="s">
        <x:v>166</x:v>
      </x:c>
      <x:c r="C17" s="31" t="s">
        <x:v>167</x:v>
      </x:c>
      <x:c r="D17" s="31" t="s">
        <x:v>168</x:v>
      </x:c>
    </x:row>
    <x:row r="18" ht="45.75" hidden="0" customHeight="1">
      <x:c r="A18" s="30" t="s">
        <x:v>169</x:v>
      </x:c>
      <x:c r="B18" s="31" t="s">
        <x:v>170</x:v>
      </x:c>
      <x:c r="C18" s="31" t="s">
        <x:v>171</x:v>
      </x:c>
      <x:c r="D18" s="31" t="s">
        <x:v>172</x:v>
      </x:c>
    </x:row>
    <x:row r="19" ht="45.75" hidden="0" customHeight="1">
      <x:c r="A19" s="30" t="s">
        <x:v>173</x:v>
      </x:c>
      <x:c r="B19" s="31" t="s">
        <x:v>174</x:v>
      </x:c>
      <x:c r="C19" s="31" t="s">
        <x:v>175</x:v>
      </x:c>
      <x:c r="D19" s="31" t="s">
        <x:v>176</x:v>
      </x:c>
    </x:row>
    <x:row r="20" ht="45.75" hidden="0" customHeight="1">
      <x:c r="A20" s="30" t="s">
        <x:v>177</x:v>
      </x:c>
      <x:c r="B20" s="31" t="s">
        <x:v>178</x:v>
      </x:c>
      <x:c r="C20" s="31" t="s">
        <x:v>179</x:v>
      </x:c>
      <x:c r="D20" s="31" t="s">
        <x:v>180</x:v>
      </x:c>
    </x:row>
    <x:row r="22" ht="15" hidden="0" customHeight="1">
      <x:c r="A22" s="21" t="s">
        <x:v>181</x:v>
      </x:c>
    </x:row>
  </x:sheetData>
  <x:pageMargins left="0.7" right="0.7" top="0.75" bottom="0.75" header="0.3" footer="0.3"/>
</x:worksheet>
</file>